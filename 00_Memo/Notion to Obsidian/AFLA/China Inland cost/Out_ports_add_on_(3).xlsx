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onang.chong\Desktop\"/>
    </mc:Choice>
  </mc:AlternateContent>
  <xr:revisionPtr revIDLastSave="0" documentId="13_ncr:1_{32BC4ED0-3972-4542-A909-A1385D4989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d on Table" sheetId="4" r:id="rId1"/>
    <sheet name="CLPUQ" sheetId="10" r:id="rId2"/>
    <sheet name="SPRC" sheetId="8" r:id="rId3"/>
    <sheet name="INDIA" sheetId="9" r:id="rId4"/>
    <sheet name="quartery " sheetId="7" r:id="rId5"/>
    <sheet name="THC and surcharges" sheetId="6" r:id="rId6"/>
    <sheet name="Sheet2" sheetId="5" r:id="rId7"/>
  </sheets>
  <definedNames>
    <definedName name="_xlnm._FilterDatabase" localSheetId="0" hidden="1">'Add on Table'!$AA$4:$AJ$5</definedName>
  </definedNames>
  <calcPr calcId="191029"/>
  <pivotCaches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4" l="1"/>
  <c r="I9" i="4"/>
  <c r="G9" i="4"/>
  <c r="G6" i="7" l="1"/>
  <c r="F6" i="7"/>
  <c r="E6" i="7"/>
  <c r="D30" i="4" l="1"/>
  <c r="C30" i="4"/>
  <c r="B30" i="4"/>
  <c r="D29" i="4"/>
  <c r="C29" i="4"/>
  <c r="B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Liu</author>
  </authors>
  <commentList>
    <comment ref="F14" authorId="0" shapeId="0" xr:uid="{FA28A60A-D60B-4445-9467-A953ED6492CA}">
      <text>
        <r>
          <rPr>
            <b/>
            <sz val="9"/>
            <color indexed="81"/>
            <rFont val="宋体"/>
          </rPr>
          <t>Tony Liu:</t>
        </r>
        <r>
          <rPr>
            <sz val="9"/>
            <color indexed="81"/>
            <rFont val="宋体"/>
          </rPr>
          <t xml:space="preserve">
D5 substitute D4</t>
        </r>
      </text>
    </comment>
    <comment ref="I14" authorId="0" shapeId="0" xr:uid="{69F8B1A7-75DC-417E-9674-C27959FEC702}">
      <text>
        <r>
          <rPr>
            <b/>
            <sz val="9"/>
            <color indexed="81"/>
            <rFont val="宋体"/>
          </rPr>
          <t>Tony Liu:</t>
        </r>
        <r>
          <rPr>
            <sz val="9"/>
            <color indexed="81"/>
            <rFont val="宋体"/>
          </rPr>
          <t xml:space="preserve">
D5 Substitute D4</t>
        </r>
      </text>
    </comment>
  </commentList>
</comments>
</file>

<file path=xl/sharedStrings.xml><?xml version="1.0" encoding="utf-8"?>
<sst xmlns="http://schemas.openxmlformats.org/spreadsheetml/2006/main" count="2040" uniqueCount="620">
  <si>
    <t>POL</t>
  </si>
  <si>
    <t>CSS D2</t>
  </si>
  <si>
    <t>CSS D4</t>
  </si>
  <si>
    <t>CSS D5</t>
  </si>
  <si>
    <t>DOC D2</t>
  </si>
  <si>
    <t>DOC D4</t>
  </si>
  <si>
    <t>DOC D5</t>
  </si>
  <si>
    <t>SLF D2</t>
  </si>
  <si>
    <t>SLF D4</t>
  </si>
  <si>
    <t>THL D2</t>
  </si>
  <si>
    <t>THL D4</t>
  </si>
  <si>
    <t>THL D5</t>
  </si>
  <si>
    <t>CNSHA</t>
  </si>
  <si>
    <t>MUNDRA</t>
  </si>
  <si>
    <t>JAKARTA</t>
  </si>
  <si>
    <t>TUTICORIN</t>
  </si>
  <si>
    <t>COCHIN</t>
  </si>
  <si>
    <t>JEBEL ALI</t>
  </si>
  <si>
    <t>Ho Chi Minh</t>
  </si>
  <si>
    <t>JEDDAH</t>
  </si>
  <si>
    <t>40HC</t>
  </si>
  <si>
    <t>20GP</t>
  </si>
  <si>
    <t>40GP</t>
  </si>
  <si>
    <t>40HQ</t>
  </si>
  <si>
    <t>Nanjing</t>
  </si>
  <si>
    <t>Zhenjiang</t>
  </si>
  <si>
    <t>Zhangjiagang</t>
  </si>
  <si>
    <t>Taicang</t>
  </si>
  <si>
    <t>Suggestion of Add- on by HK EAS  RSM</t>
  </si>
  <si>
    <t xml:space="preserve">Feeder out port </t>
  </si>
  <si>
    <t>Main Hub port</t>
  </si>
  <si>
    <t>Shekou</t>
  </si>
  <si>
    <t>SPRC to Hong Kong &amp; Shekou</t>
  </si>
  <si>
    <t>SPRC to Yantian</t>
  </si>
  <si>
    <t>Location</t>
  </si>
  <si>
    <t>Yard Code</t>
  </si>
  <si>
    <t>D2</t>
  </si>
  <si>
    <t>D4</t>
  </si>
  <si>
    <t>D5</t>
  </si>
  <si>
    <t>D7</t>
  </si>
  <si>
    <t>R2</t>
  </si>
  <si>
    <t>R5</t>
  </si>
  <si>
    <t xml:space="preserve">Foshan </t>
  </si>
  <si>
    <t>Lanshi</t>
  </si>
  <si>
    <t>CNLSI01</t>
  </si>
  <si>
    <t>New Port</t>
  </si>
  <si>
    <t>CNFOS01</t>
  </si>
  <si>
    <t>Gaoming</t>
  </si>
  <si>
    <t>CNGOM01</t>
  </si>
  <si>
    <t xml:space="preserve">Guangzhou </t>
  </si>
  <si>
    <t>Fangcun</t>
  </si>
  <si>
    <t>CNCAN02</t>
  </si>
  <si>
    <t xml:space="preserve">Huadu </t>
  </si>
  <si>
    <t>CNHDU01</t>
  </si>
  <si>
    <t>Jiaoxin</t>
  </si>
  <si>
    <t>CNCAN01</t>
  </si>
  <si>
    <t>Xingtang</t>
  </si>
  <si>
    <t>CNXIT02</t>
  </si>
  <si>
    <t>Qingyuan</t>
  </si>
  <si>
    <t>CNQYN01</t>
  </si>
  <si>
    <t>Huangpu (Old Port)</t>
  </si>
  <si>
    <t>Wuchong</t>
  </si>
  <si>
    <t>CNHUA06</t>
  </si>
  <si>
    <t>Cali</t>
  </si>
  <si>
    <t>CNHUA09</t>
  </si>
  <si>
    <t>Damatou</t>
  </si>
  <si>
    <t>CNHUA04</t>
  </si>
  <si>
    <t>Huangpu (New Port)</t>
  </si>
  <si>
    <t>Jisi (GCT) &amp;       ShiGangAo</t>
  </si>
  <si>
    <t>CNHUA01</t>
  </si>
  <si>
    <t>CNHUA14</t>
  </si>
  <si>
    <t>Quantong</t>
  </si>
  <si>
    <t>CNHUA12</t>
  </si>
  <si>
    <t>Guangbaotong</t>
  </si>
  <si>
    <t>CNHUA02</t>
  </si>
  <si>
    <t>Dongjiang</t>
  </si>
  <si>
    <t>CNHUA07</t>
  </si>
  <si>
    <t>Suigang</t>
  </si>
  <si>
    <t>CNHUA13</t>
  </si>
  <si>
    <t>Xinsha</t>
  </si>
  <si>
    <t>CNHUA05</t>
  </si>
  <si>
    <t>Lianhuashan</t>
  </si>
  <si>
    <t>CNLIH01</t>
  </si>
  <si>
    <t>Nansha</t>
  </si>
  <si>
    <t>GOCT</t>
    <phoneticPr fontId="0" type="noConversion"/>
  </si>
  <si>
    <t>CNNSA04</t>
  </si>
  <si>
    <t>Dongfa, Nanwei</t>
    <phoneticPr fontId="0" type="noConversion"/>
  </si>
  <si>
    <t>CNNSA03,01</t>
  </si>
  <si>
    <t>Sanshan</t>
  </si>
  <si>
    <t>CNSHG01</t>
  </si>
  <si>
    <t>Jiujiang</t>
  </si>
  <si>
    <t>CNJJG01</t>
  </si>
  <si>
    <t>Nangang</t>
  </si>
  <si>
    <t>CNNGG01</t>
  </si>
  <si>
    <t>Beicun</t>
    <phoneticPr fontId="0" type="noConversion"/>
  </si>
  <si>
    <t>CNFOS02</t>
  </si>
  <si>
    <t xml:space="preserve">Sanshui </t>
  </si>
  <si>
    <t>New Port &amp; Xinan</t>
  </si>
  <si>
    <t>CNSJQ01,02</t>
  </si>
  <si>
    <t xml:space="preserve">Shunde </t>
  </si>
  <si>
    <t>Beijiao</t>
  </si>
  <si>
    <t>CNYQS01</t>
  </si>
  <si>
    <t>Leliu</t>
  </si>
  <si>
    <t>CNLUU01</t>
  </si>
  <si>
    <t>Rongqi</t>
  </si>
  <si>
    <t>CNROQ01</t>
  </si>
  <si>
    <t>Sihui</t>
  </si>
  <si>
    <t>Mafang</t>
  </si>
  <si>
    <t>CNSIH01</t>
  </si>
  <si>
    <t>YunFu</t>
  </si>
  <si>
    <t>Liudu</t>
  </si>
  <si>
    <t>CNYNF01</t>
  </si>
  <si>
    <t>Zhaoqing</t>
  </si>
  <si>
    <t>Sanrong &amp; Gaoyao</t>
  </si>
  <si>
    <t>CNZQG01,02</t>
  </si>
  <si>
    <t>CNZQG03</t>
  </si>
  <si>
    <t xml:space="preserve">Jiangmen </t>
  </si>
  <si>
    <t>Gaosha / Waihai</t>
  </si>
  <si>
    <t>CNJMN02,01</t>
  </si>
  <si>
    <t>Heshan</t>
  </si>
  <si>
    <t>CNHSN01</t>
  </si>
  <si>
    <t>Shuidong</t>
  </si>
  <si>
    <t>CNSDG01</t>
  </si>
  <si>
    <t>Sanbu</t>
  </si>
  <si>
    <t>CNSBU01</t>
  </si>
  <si>
    <t>Taishan</t>
  </si>
  <si>
    <t>CNGGY01</t>
  </si>
  <si>
    <t>Xinhui</t>
  </si>
  <si>
    <t>CNXIN01</t>
  </si>
  <si>
    <t>Zhanjiang</t>
  </si>
  <si>
    <t>CNZHA01</t>
  </si>
  <si>
    <t xml:space="preserve">Zhuhai </t>
  </si>
  <si>
    <t>Civet</t>
  </si>
  <si>
    <t>CNZUH02</t>
  </si>
  <si>
    <t>Doumen</t>
  </si>
  <si>
    <t>CNDOU01</t>
  </si>
  <si>
    <t>Hongwan</t>
    <phoneticPr fontId="0" type="noConversion"/>
  </si>
  <si>
    <t>CNZUH03</t>
  </si>
  <si>
    <t>Gaolan</t>
  </si>
  <si>
    <t>CNGON01</t>
  </si>
  <si>
    <t xml:space="preserve">Zhongshan </t>
  </si>
  <si>
    <t>Foreign Trade</t>
  </si>
  <si>
    <t>CNZSN02</t>
  </si>
  <si>
    <t>Xiaolan</t>
  </si>
  <si>
    <t>CNXIL01</t>
  </si>
  <si>
    <t xml:space="preserve">Shenwan </t>
  </si>
  <si>
    <t>CNZSN03</t>
  </si>
  <si>
    <t>Zhongshan Gang</t>
  </si>
  <si>
    <t>CNZSN01</t>
  </si>
  <si>
    <t>Zhongshan Huangpu</t>
  </si>
  <si>
    <t>CNZSN04</t>
  </si>
  <si>
    <t>Beibu Gulf</t>
  </si>
  <si>
    <t>Beihai</t>
  </si>
  <si>
    <t>CNBHY01</t>
  </si>
  <si>
    <t>Fangcheng</t>
  </si>
  <si>
    <t>CNFAN01</t>
  </si>
  <si>
    <t>Qinzhou</t>
  </si>
  <si>
    <t>CNQZH01</t>
  </si>
  <si>
    <t>Guigang</t>
  </si>
  <si>
    <t>CNGUG01</t>
  </si>
  <si>
    <t>Wuzhou</t>
  </si>
  <si>
    <t>CNWUZ01</t>
  </si>
  <si>
    <t>Haikou</t>
  </si>
  <si>
    <t>CNHAK01</t>
  </si>
  <si>
    <t>Yangpu</t>
    <phoneticPr fontId="0" type="noConversion"/>
  </si>
  <si>
    <t>CNYPG01</t>
  </si>
  <si>
    <t xml:space="preserve">Yantian </t>
  </si>
  <si>
    <t>CNYTN01</t>
  </si>
  <si>
    <t>CNSHK01</t>
  </si>
  <si>
    <t>Chiwan</t>
  </si>
  <si>
    <t>CNSHK02</t>
  </si>
  <si>
    <t>DachanBay</t>
  </si>
  <si>
    <t>CNDCB01</t>
  </si>
  <si>
    <t>Dongguan</t>
  </si>
  <si>
    <t>LongTong</t>
  </si>
  <si>
    <t>CNDGG01</t>
  </si>
  <si>
    <t>Humen</t>
    <phoneticPr fontId="0" type="noConversion"/>
  </si>
  <si>
    <t>CNDGG02</t>
  </si>
  <si>
    <t>Taiping</t>
  </si>
  <si>
    <t>CNTAP01</t>
  </si>
  <si>
    <t>Shatian</t>
  </si>
  <si>
    <t>CNSIN01</t>
  </si>
  <si>
    <t>Shilong</t>
  </si>
  <si>
    <t>Shantou</t>
  </si>
  <si>
    <t>SICT</t>
  </si>
  <si>
    <t>CNSWA01</t>
  </si>
  <si>
    <t>GuangAo</t>
  </si>
  <si>
    <t>CNSWA30</t>
  </si>
  <si>
    <t>Huizhou</t>
  </si>
  <si>
    <t>HICT</t>
  </si>
  <si>
    <t>CNHUI01</t>
  </si>
  <si>
    <t>Macau</t>
  </si>
  <si>
    <t>Damman</t>
  </si>
  <si>
    <t>Grand Total</t>
  </si>
  <si>
    <t>Chile</t>
  </si>
  <si>
    <t>Ecuador</t>
  </si>
  <si>
    <t>Nicaragua</t>
  </si>
  <si>
    <t>Peru</t>
  </si>
  <si>
    <t>El Salvador</t>
  </si>
  <si>
    <t xml:space="preserve">Antogagasta </t>
  </si>
  <si>
    <t>San Jose</t>
  </si>
  <si>
    <t>Guatamala City</t>
  </si>
  <si>
    <t>THCD</t>
  </si>
  <si>
    <t>Puerto Angamos</t>
  </si>
  <si>
    <t>Add on from BP rates</t>
  </si>
  <si>
    <t>IQQ/ESE/GYE</t>
  </si>
  <si>
    <t>Costa Rica</t>
  </si>
  <si>
    <t>Managua</t>
  </si>
  <si>
    <t>Bangkok</t>
  </si>
  <si>
    <t>Port Klang</t>
  </si>
  <si>
    <t>Pasir Gudang</t>
  </si>
  <si>
    <t>Haiphong</t>
  </si>
  <si>
    <t>Surabaya</t>
  </si>
  <si>
    <t>Laem Chabang (via YTN)</t>
  </si>
  <si>
    <t>Penang</t>
  </si>
  <si>
    <t>Singapore</t>
  </si>
  <si>
    <t>Nhava Sheva</t>
  </si>
  <si>
    <t>Colombia</t>
  </si>
  <si>
    <t>Doc</t>
  </si>
  <si>
    <t>MEX</t>
  </si>
  <si>
    <t>Belawan</t>
  </si>
  <si>
    <t>Veracruz (via AL4 service London gateway)</t>
  </si>
  <si>
    <t>Manzatlan</t>
  </si>
  <si>
    <t xml:space="preserve">Full </t>
  </si>
  <si>
    <t>Single</t>
  </si>
  <si>
    <t>MEX city (via ZLO all truck)</t>
  </si>
  <si>
    <t>Tijuana (via ESE all Truck)</t>
  </si>
  <si>
    <t>Danang</t>
  </si>
  <si>
    <t>Semarang</t>
  </si>
  <si>
    <t>Panama</t>
  </si>
  <si>
    <t>Hondura</t>
  </si>
  <si>
    <t>Batam</t>
  </si>
  <si>
    <t>Brisbane</t>
  </si>
  <si>
    <t>Bangalore</t>
  </si>
  <si>
    <t>Auckland</t>
  </si>
  <si>
    <t>Cagayan De Oro</t>
  </si>
  <si>
    <t>Manila</t>
  </si>
  <si>
    <t>Davao</t>
  </si>
  <si>
    <t>Puerto Cortes (via PAMIT)</t>
  </si>
  <si>
    <t>San Salvador (via Acajulta)</t>
  </si>
  <si>
    <t>Guatemala</t>
  </si>
  <si>
    <t xml:space="preserve">Calcutta </t>
  </si>
  <si>
    <t>Cebu</t>
  </si>
  <si>
    <t>Chennai</t>
  </si>
  <si>
    <t>Chittagong</t>
  </si>
  <si>
    <t>Colombo</t>
  </si>
  <si>
    <t>Karachi</t>
  </si>
  <si>
    <t>Subic Bay</t>
  </si>
  <si>
    <t>Songkhla/ LKR</t>
  </si>
  <si>
    <t>65.837118967674 Total</t>
  </si>
  <si>
    <t>2.92609417634107 Total</t>
  </si>
  <si>
    <t>121.871822444605 Total</t>
  </si>
  <si>
    <t>121.14029890052 Total</t>
  </si>
  <si>
    <t>General Santos</t>
  </si>
  <si>
    <t>Lyttelton</t>
  </si>
  <si>
    <t>Tanjung Pelepas</t>
  </si>
  <si>
    <t>Sihanoville</t>
  </si>
  <si>
    <t>Hazira</t>
  </si>
  <si>
    <t>WEF1/4/2020</t>
  </si>
  <si>
    <t>Yangon</t>
  </si>
  <si>
    <t>Kuantan</t>
  </si>
  <si>
    <t>Durban</t>
  </si>
  <si>
    <t>Export Add-on via SHA DXYS</t>
    <phoneticPr fontId="2" type="noConversion"/>
  </si>
  <si>
    <t xml:space="preserve">Remarks: Changsha(*),for low water season during October to March every year,additional operation cost with RMB 800/unit will be charged. </t>
    <phoneticPr fontId="2" type="noConversion"/>
  </si>
  <si>
    <t>Most customers can accept this charge and directly pay to barge company but some tender A/Cs do not accept, pls consider accordingly to your</t>
    <phoneticPr fontId="2" type="noConversion"/>
  </si>
  <si>
    <t>understanding and seasonality of the biz</t>
    <phoneticPr fontId="2" type="noConversion"/>
  </si>
  <si>
    <t>Melbourne</t>
  </si>
  <si>
    <t>Fremantle</t>
  </si>
  <si>
    <t>Sydney</t>
  </si>
  <si>
    <t>Remarks: For Nanjing Shipments, if the gross weight (cargo weight + tier weight) is over 30.5 tons, please add USD65/95 (20'/40') on top of our add-on to cover heavy surcharge in Nanjing terminal</t>
    <phoneticPr fontId="2" type="noConversion"/>
  </si>
  <si>
    <t>Feeder</t>
    <phoneticPr fontId="1" type="noConversion"/>
  </si>
  <si>
    <t>Ningbo</t>
    <phoneticPr fontId="1" type="noConversion"/>
  </si>
  <si>
    <t>Feeder</t>
    <phoneticPr fontId="3" type="noConversion"/>
  </si>
  <si>
    <t>Shandong</t>
    <phoneticPr fontId="3" type="noConversion"/>
  </si>
  <si>
    <t>Weihai</t>
    <phoneticPr fontId="3" type="noConversion"/>
  </si>
  <si>
    <t>Rizhao</t>
    <phoneticPr fontId="3" type="noConversion"/>
  </si>
  <si>
    <t>Shidao</t>
    <phoneticPr fontId="3" type="noConversion"/>
  </si>
  <si>
    <t>Barge</t>
    <phoneticPr fontId="3" type="noConversion"/>
  </si>
  <si>
    <t>Zhejiang</t>
    <phoneticPr fontId="3" type="noConversion"/>
  </si>
  <si>
    <t>Anji</t>
    <phoneticPr fontId="3" type="noConversion"/>
  </si>
  <si>
    <t>Jiangsu</t>
    <phoneticPr fontId="2" type="noConversion"/>
  </si>
  <si>
    <t>Taizhou</t>
    <phoneticPr fontId="2" type="noConversion"/>
  </si>
  <si>
    <t>Jiangsu</t>
    <phoneticPr fontId="3" type="noConversion"/>
  </si>
  <si>
    <t>Dafeng</t>
    <phoneticPr fontId="3" type="noConversion"/>
  </si>
  <si>
    <t>Barge</t>
    <phoneticPr fontId="2" type="noConversion"/>
  </si>
  <si>
    <t>Anhui</t>
    <phoneticPr fontId="2" type="noConversion"/>
  </si>
  <si>
    <t>Ma'anshan</t>
    <phoneticPr fontId="2" type="noConversion"/>
  </si>
  <si>
    <t>Anhui</t>
    <phoneticPr fontId="3" type="noConversion"/>
  </si>
  <si>
    <t>Anqing</t>
    <phoneticPr fontId="3" type="noConversion"/>
  </si>
  <si>
    <t>Hefei</t>
    <phoneticPr fontId="3" type="noConversion"/>
  </si>
  <si>
    <t>Hubei</t>
    <phoneticPr fontId="2" type="noConversion"/>
  </si>
  <si>
    <t>Huangshi</t>
    <phoneticPr fontId="2" type="noConversion"/>
  </si>
  <si>
    <t>Hunan</t>
    <phoneticPr fontId="3" type="noConversion"/>
  </si>
  <si>
    <t>Yueyang (Chenglingji)</t>
    <phoneticPr fontId="3" type="noConversion"/>
  </si>
  <si>
    <t>Changsha(*)</t>
    <phoneticPr fontId="2" type="noConversion"/>
  </si>
  <si>
    <t>Sichuan</t>
    <phoneticPr fontId="3" type="noConversion"/>
  </si>
  <si>
    <t>Yibin</t>
    <phoneticPr fontId="2" type="noConversion"/>
  </si>
  <si>
    <t>Luzhou</t>
    <phoneticPr fontId="2" type="noConversion"/>
  </si>
  <si>
    <t>Rail</t>
    <phoneticPr fontId="3" type="noConversion"/>
  </si>
  <si>
    <t>Chengdu</t>
    <phoneticPr fontId="3" type="noConversion"/>
  </si>
  <si>
    <t>Zhejiang</t>
    <phoneticPr fontId="1" type="noConversion"/>
  </si>
  <si>
    <t>Zhapu</t>
    <phoneticPr fontId="1" type="noConversion"/>
  </si>
  <si>
    <t>Wenzhou</t>
    <phoneticPr fontId="1" type="noConversion"/>
  </si>
  <si>
    <t>Effective Date:</t>
    <phoneticPr fontId="1" type="noConversion"/>
  </si>
  <si>
    <t>From July 1, 2022 to September 30, 2022</t>
    <phoneticPr fontId="1" type="noConversion"/>
  </si>
  <si>
    <t>Mode</t>
    <phoneticPr fontId="1" type="noConversion"/>
  </si>
  <si>
    <t>Province</t>
    <phoneticPr fontId="1" type="noConversion"/>
  </si>
  <si>
    <t>Origin</t>
    <phoneticPr fontId="1" type="noConversion"/>
  </si>
  <si>
    <t>Via</t>
    <phoneticPr fontId="1" type="noConversion"/>
  </si>
  <si>
    <t>Export Add-on via SHA WGQ</t>
    <phoneticPr fontId="1" type="noConversion"/>
  </si>
  <si>
    <t>Feeder</t>
    <phoneticPr fontId="1" type="noConversion"/>
  </si>
  <si>
    <t>Jiangsu</t>
    <phoneticPr fontId="1" type="noConversion"/>
  </si>
  <si>
    <t>Lianyungang</t>
    <phoneticPr fontId="1" type="noConversion"/>
  </si>
  <si>
    <t>Qingdao</t>
    <phoneticPr fontId="1" type="noConversion"/>
  </si>
  <si>
    <t>Shanghai</t>
    <phoneticPr fontId="1" type="noConversion"/>
  </si>
  <si>
    <t>Feeder</t>
    <phoneticPr fontId="2" type="noConversion"/>
  </si>
  <si>
    <t>Lianyungang</t>
    <phoneticPr fontId="2" type="noConversion"/>
  </si>
  <si>
    <t>Shandong</t>
    <phoneticPr fontId="1" type="noConversion"/>
  </si>
  <si>
    <t>Yantai</t>
    <phoneticPr fontId="1" type="noConversion"/>
  </si>
  <si>
    <t>Barge</t>
    <phoneticPr fontId="1" type="noConversion"/>
  </si>
  <si>
    <t>Taicang</t>
    <phoneticPr fontId="1" type="noConversion"/>
  </si>
  <si>
    <t>Changshu</t>
    <phoneticPr fontId="1" type="noConversion"/>
  </si>
  <si>
    <t>Zhangjiagang</t>
    <phoneticPr fontId="1" type="noConversion"/>
  </si>
  <si>
    <t>Jiangyin</t>
    <phoneticPr fontId="1" type="noConversion"/>
  </si>
  <si>
    <t>Changzhou</t>
    <phoneticPr fontId="1" type="noConversion"/>
  </si>
  <si>
    <t>Zhenjiang</t>
    <phoneticPr fontId="1" type="noConversion"/>
  </si>
  <si>
    <t>Yangzhou</t>
    <phoneticPr fontId="1" type="noConversion"/>
  </si>
  <si>
    <t>Nantong</t>
    <phoneticPr fontId="1" type="noConversion"/>
  </si>
  <si>
    <t>Nanjing</t>
    <phoneticPr fontId="1" type="noConversion"/>
  </si>
  <si>
    <t>Anhui</t>
    <phoneticPr fontId="1" type="noConversion"/>
  </si>
  <si>
    <t>Wuhu</t>
    <phoneticPr fontId="1" type="noConversion"/>
  </si>
  <si>
    <t>Jiangxi</t>
    <phoneticPr fontId="1" type="noConversion"/>
  </si>
  <si>
    <t>Jiujiang</t>
    <phoneticPr fontId="1" type="noConversion"/>
  </si>
  <si>
    <t>Nanchang</t>
    <phoneticPr fontId="1" type="noConversion"/>
  </si>
  <si>
    <t>Hubei</t>
    <phoneticPr fontId="1" type="noConversion"/>
  </si>
  <si>
    <t>Wuhan</t>
    <phoneticPr fontId="1" type="noConversion"/>
  </si>
  <si>
    <t>Hunan</t>
    <phoneticPr fontId="1" type="noConversion"/>
  </si>
  <si>
    <t>Changsha</t>
    <phoneticPr fontId="1" type="noConversion"/>
  </si>
  <si>
    <t>Chongqing</t>
    <phoneticPr fontId="1" type="noConversion"/>
  </si>
  <si>
    <t>Rail</t>
    <phoneticPr fontId="1" type="noConversion"/>
  </si>
  <si>
    <r>
      <t>Longmen Port (</t>
    </r>
    <r>
      <rPr>
        <sz val="10"/>
        <rFont val="DengXian"/>
        <charset val="134"/>
      </rPr>
      <t>龙门港）</t>
    </r>
  </si>
  <si>
    <t>Nantong</t>
    <phoneticPr fontId="2" type="noConversion"/>
  </si>
  <si>
    <t>Makassar</t>
  </si>
  <si>
    <t>IDMAK TO IDJKT</t>
  </si>
  <si>
    <t>PANJANG</t>
  </si>
  <si>
    <t>IDPNJ</t>
  </si>
  <si>
    <t>YINGKOU</t>
  </si>
  <si>
    <t>CNYIK VIA CNDLC</t>
  </si>
  <si>
    <t>PALEMBANG</t>
  </si>
  <si>
    <t>IDPLM VIA SGSIN</t>
  </si>
  <si>
    <t>GONGYI located in Jiangmen</t>
  </si>
  <si>
    <t>CNCGY</t>
  </si>
  <si>
    <t>KHPNH</t>
  </si>
  <si>
    <t>PHNOM PENH</t>
  </si>
  <si>
    <t>IDPNK via SGSIN</t>
  </si>
  <si>
    <t>Pontianak</t>
  </si>
  <si>
    <t>BASED ON EC2 /ANG SERVICE - CNSHA - COCNR - MXVER - rates quote based on JMKIN</t>
  </si>
  <si>
    <t>JAMBI</t>
  </si>
  <si>
    <t>IDDJB VIA SGSIN</t>
  </si>
  <si>
    <t>IDBDJ  VIA IDJKT</t>
  </si>
  <si>
    <t>BANJARMASIN</t>
  </si>
  <si>
    <t>Effective Date:</t>
  </si>
  <si>
    <t>Mode</t>
  </si>
  <si>
    <t>Province</t>
  </si>
  <si>
    <t>Origin</t>
  </si>
  <si>
    <t>Via</t>
  </si>
  <si>
    <t>Export Add-on via SHA WGQ</t>
  </si>
  <si>
    <t>Export Add-on via SHA DXYS</t>
  </si>
  <si>
    <t>Jiangsu</t>
  </si>
  <si>
    <t>Lianyungang</t>
  </si>
  <si>
    <t>Qingdao</t>
  </si>
  <si>
    <t>Shanghai</t>
  </si>
  <si>
    <t>Ningbo</t>
  </si>
  <si>
    <t>Shandong</t>
  </si>
  <si>
    <t>Yantai</t>
  </si>
  <si>
    <t>Weihai</t>
  </si>
  <si>
    <t>Rizhao</t>
  </si>
  <si>
    <t>Shidao</t>
  </si>
  <si>
    <t>Barge</t>
  </si>
  <si>
    <t>Zhejiang</t>
  </si>
  <si>
    <t>Anhui</t>
  </si>
  <si>
    <t>Hefei</t>
  </si>
  <si>
    <t>Jiangxi</t>
  </si>
  <si>
    <t>Hubei</t>
  </si>
  <si>
    <t>Chongqing</t>
  </si>
  <si>
    <t>Rail</t>
  </si>
  <si>
    <t>Zhapu</t>
  </si>
  <si>
    <t>Wenzhou</t>
  </si>
  <si>
    <t>20TK SOC</t>
  </si>
  <si>
    <t>100 TO 200</t>
  </si>
  <si>
    <t>FOODGRADE</t>
  </si>
  <si>
    <t>BOTTOMLINE 100 TO 200/UNIT</t>
  </si>
  <si>
    <t>BINTULU</t>
  </si>
  <si>
    <t>MYBTU VIA SGSIN</t>
  </si>
  <si>
    <t>RF</t>
  </si>
  <si>
    <t>DG</t>
  </si>
  <si>
    <t>Pahang</t>
  </si>
  <si>
    <t>IDPDG</t>
  </si>
  <si>
    <t>Rail</t>
    <phoneticPr fontId="7" type="noConversion"/>
  </si>
  <si>
    <t>Jiangsu</t>
    <phoneticPr fontId="7" type="noConversion"/>
  </si>
  <si>
    <t>Changzhou</t>
    <phoneticPr fontId="7" type="noConversion"/>
  </si>
  <si>
    <t>Shanghai</t>
    <phoneticPr fontId="7" type="noConversion"/>
  </si>
  <si>
    <t>Nanjing</t>
    <phoneticPr fontId="7" type="noConversion"/>
  </si>
  <si>
    <t xml:space="preserve">Cost Coverage Logic </t>
    <phoneticPr fontId="7" type="noConversion"/>
  </si>
  <si>
    <t>INKTP</t>
  </si>
  <si>
    <t>IDSRI via IDJKT</t>
  </si>
  <si>
    <t>SAMARINDA</t>
  </si>
  <si>
    <t>PADANG</t>
  </si>
  <si>
    <t>INPAV</t>
  </si>
  <si>
    <t>Export Add-on</t>
    <phoneticPr fontId="7" type="noConversion"/>
  </si>
  <si>
    <t>Zhejiang</t>
    <phoneticPr fontId="7" type="noConversion"/>
  </si>
  <si>
    <t>Yiwu</t>
    <phoneticPr fontId="7" type="noConversion"/>
  </si>
  <si>
    <t>Ningbo</t>
    <phoneticPr fontId="7" type="noConversion"/>
  </si>
  <si>
    <t>Ocean Network Express (India) Pvt. Ltd.</t>
  </si>
  <si>
    <t>EXPORT HAULAGES - ALL INDIA</t>
  </si>
  <si>
    <t>POR CODE</t>
  </si>
  <si>
    <t>POR NAME</t>
  </si>
  <si>
    <t>POL CODE</t>
  </si>
  <si>
    <t>POL NAME</t>
  </si>
  <si>
    <t>PER</t>
  </si>
  <si>
    <t>Cargo Type</t>
  </si>
  <si>
    <t>Cur.</t>
  </si>
  <si>
    <t>Amount ( INR)</t>
  </si>
  <si>
    <t>Effective Date</t>
  </si>
  <si>
    <t>CARGO WEIGHT MIN (MT)</t>
  </si>
  <si>
    <t>CARGO WEIGHT MAX (MT)</t>
  </si>
  <si>
    <t>Mode of transport</t>
  </si>
  <si>
    <t>INMOR</t>
  </si>
  <si>
    <t>MORADABAD</t>
  </si>
  <si>
    <t>INMUN</t>
  </si>
  <si>
    <t>DR</t>
  </si>
  <si>
    <t>INR</t>
  </si>
  <si>
    <t>18.09.22</t>
  </si>
  <si>
    <t>D4/D5</t>
  </si>
  <si>
    <t>40STD/HC</t>
  </si>
  <si>
    <t>INNSA</t>
  </si>
  <si>
    <t>NHAVA SHEVA</t>
  </si>
  <si>
    <t>Note :</t>
  </si>
  <si>
    <t xml:space="preserve">1) Subject to THL </t>
  </si>
  <si>
    <t>2) Above charges for DV container .</t>
  </si>
  <si>
    <t xml:space="preserve">3) Tax at actual over above recovery will be applicable  </t>
  </si>
  <si>
    <t xml:space="preserve">4) The weight slabs mentioned in the tariff are for gross weight of cargo. </t>
  </si>
  <si>
    <t>PIPAPAV</t>
  </si>
  <si>
    <t>Laem Chabang (via KRPUS)</t>
  </si>
  <si>
    <t>VIA CNSHA</t>
  </si>
  <si>
    <t>VIA KRPUS</t>
  </si>
  <si>
    <t>Huaian</t>
    <phoneticPr fontId="7" type="noConversion"/>
  </si>
  <si>
    <t>Yancheng</t>
    <phoneticPr fontId="7" type="noConversion"/>
  </si>
  <si>
    <t>Chuzhou</t>
    <phoneticPr fontId="7" type="noConversion"/>
  </si>
  <si>
    <t>Bengbu</t>
    <phoneticPr fontId="7" type="noConversion"/>
  </si>
  <si>
    <t>Huzhou</t>
    <phoneticPr fontId="7" type="noConversion"/>
  </si>
  <si>
    <t>Wuhan</t>
    <phoneticPr fontId="7" type="noConversion"/>
  </si>
  <si>
    <t>Nanchang</t>
    <phoneticPr fontId="7" type="noConversion"/>
  </si>
  <si>
    <t>Zhengzhou</t>
    <phoneticPr fontId="7" type="noConversion"/>
  </si>
  <si>
    <t>Qingdao</t>
    <phoneticPr fontId="7" type="noConversion"/>
  </si>
  <si>
    <t>Ningxia</t>
    <phoneticPr fontId="7" type="noConversion"/>
  </si>
  <si>
    <t>Yinchuan</t>
    <phoneticPr fontId="7" type="noConversion"/>
  </si>
  <si>
    <t>Tianjin</t>
    <phoneticPr fontId="7" type="noConversion"/>
  </si>
  <si>
    <t>Jilin</t>
    <phoneticPr fontId="7" type="noConversion"/>
  </si>
  <si>
    <t>Changchun</t>
    <phoneticPr fontId="7" type="noConversion"/>
  </si>
  <si>
    <t>Dalian</t>
    <phoneticPr fontId="7" type="noConversion"/>
  </si>
  <si>
    <t>Hunan</t>
    <phoneticPr fontId="7" type="noConversion"/>
  </si>
  <si>
    <t>Jiangxi</t>
    <phoneticPr fontId="7" type="noConversion"/>
  </si>
  <si>
    <t>Hubei</t>
    <phoneticPr fontId="7" type="noConversion"/>
  </si>
  <si>
    <t>Chongqing</t>
    <phoneticPr fontId="7" type="noConversion"/>
  </si>
  <si>
    <t>Sichuan</t>
    <phoneticPr fontId="7" type="noConversion"/>
  </si>
  <si>
    <t>NGB (CNNGB07 only)</t>
    <phoneticPr fontId="7" type="noConversion"/>
  </si>
  <si>
    <t>the feeder add on ex from GGY is around CNY400/D2 (via HKG), JMN is around CNY430/D2 (via HKG). </t>
  </si>
  <si>
    <t>Jintan</t>
    <phoneticPr fontId="7" type="noConversion"/>
  </si>
  <si>
    <t>Suqian</t>
    <phoneticPr fontId="7" type="noConversion"/>
  </si>
  <si>
    <t>From: July/24 - Sept/24</t>
  </si>
  <si>
    <t>From: Oct/24 to Dec/24</t>
  </si>
  <si>
    <t>USD</t>
  </si>
  <si>
    <t>Oct/24 to Dec/24</t>
  </si>
  <si>
    <t>TRANSMARE OLD</t>
  </si>
  <si>
    <t>TRANSMARE NEW</t>
  </si>
  <si>
    <t>From</t>
  </si>
  <si>
    <t>To</t>
  </si>
  <si>
    <t>Full</t>
  </si>
  <si>
    <t>Empty</t>
  </si>
  <si>
    <t>CLSAI</t>
  </si>
  <si>
    <t>CLPCH</t>
  </si>
  <si>
    <t>20'</t>
  </si>
  <si>
    <t> $    1.656</t>
  </si>
  <si>
    <t> $             420</t>
  </si>
  <si>
    <t> $    1.659</t>
  </si>
  <si>
    <t>40'</t>
  </si>
  <si>
    <t> $    3.102</t>
  </si>
  <si>
    <t> $             500</t>
  </si>
  <si>
    <t> $    3.108</t>
  </si>
  <si>
    <t>40' RH</t>
  </si>
  <si>
    <t> $    3.552</t>
  </si>
  <si>
    <t> $    3.558</t>
  </si>
  <si>
    <t>CLPUQ</t>
  </si>
  <si>
    <t>CLSVE</t>
  </si>
  <si>
    <t> $             540</t>
  </si>
  <si>
    <t> $    2.502</t>
  </si>
  <si>
    <t> $    2.508</t>
  </si>
  <si>
    <t> $    2.702</t>
  </si>
  <si>
    <t> $    2.708</t>
  </si>
  <si>
    <t>Best Regards,</t>
  </si>
  <si>
    <t>working</t>
  </si>
  <si>
    <t>Liaoning</t>
    <phoneticPr fontId="7" type="noConversion"/>
  </si>
  <si>
    <t>Shenyang</t>
    <phoneticPr fontId="7" type="noConversion"/>
  </si>
  <si>
    <t>Lianyungang</t>
    <phoneticPr fontId="11" type="noConversion"/>
  </si>
  <si>
    <t>Anji</t>
    <phoneticPr fontId="11" type="noConversion"/>
  </si>
  <si>
    <t>Haining</t>
    <phoneticPr fontId="11" type="noConversion"/>
  </si>
  <si>
    <t xml:space="preserve">Dafeng </t>
    <phoneticPr fontId="11" type="noConversion"/>
  </si>
  <si>
    <t>Taicang</t>
    <phoneticPr fontId="11" type="noConversion"/>
  </si>
  <si>
    <t>Nanjing</t>
    <phoneticPr fontId="11" type="noConversion"/>
  </si>
  <si>
    <t>Nantong</t>
    <phoneticPr fontId="11" type="noConversion"/>
  </si>
  <si>
    <t>Changzhou</t>
    <phoneticPr fontId="11" type="noConversion"/>
  </si>
  <si>
    <t>Taizhou</t>
    <phoneticPr fontId="11" type="noConversion"/>
  </si>
  <si>
    <t>Yangzhou</t>
    <phoneticPr fontId="11" type="noConversion"/>
  </si>
  <si>
    <t>Zhenjiang</t>
    <phoneticPr fontId="11" type="noConversion"/>
  </si>
  <si>
    <t>Zhangjiagang</t>
    <phoneticPr fontId="11" type="noConversion"/>
  </si>
  <si>
    <t>Changshu</t>
    <phoneticPr fontId="11" type="noConversion"/>
  </si>
  <si>
    <t>Jiangyin</t>
    <phoneticPr fontId="11" type="noConversion"/>
  </si>
  <si>
    <t>Rugao</t>
    <phoneticPr fontId="11" type="noConversion"/>
  </si>
  <si>
    <t>Hefei</t>
    <phoneticPr fontId="11" type="noConversion"/>
  </si>
  <si>
    <t>Wuhu</t>
    <phoneticPr fontId="11" type="noConversion"/>
  </si>
  <si>
    <t>Anqing</t>
    <phoneticPr fontId="11" type="noConversion"/>
  </si>
  <si>
    <t>Ma'anshan</t>
    <phoneticPr fontId="11" type="noConversion"/>
  </si>
  <si>
    <t>Wuhan</t>
    <phoneticPr fontId="11" type="noConversion"/>
  </si>
  <si>
    <t>Yueyang</t>
    <phoneticPr fontId="11" type="noConversion"/>
  </si>
  <si>
    <t>Changsha</t>
    <phoneticPr fontId="11" type="noConversion"/>
  </si>
  <si>
    <t>Jiujiang</t>
    <phoneticPr fontId="11" type="noConversion"/>
  </si>
  <si>
    <t>Nanchang</t>
    <phoneticPr fontId="11" type="noConversion"/>
  </si>
  <si>
    <t>Huangshi</t>
    <phoneticPr fontId="11" type="noConversion"/>
  </si>
  <si>
    <t>Jingzhou</t>
    <phoneticPr fontId="11" type="noConversion"/>
  </si>
  <si>
    <t>Yichang</t>
    <phoneticPr fontId="11" type="noConversion"/>
  </si>
  <si>
    <t>Chongqing</t>
    <phoneticPr fontId="11" type="noConversion"/>
  </si>
  <si>
    <t>Yibin</t>
    <phoneticPr fontId="11" type="noConversion"/>
  </si>
  <si>
    <t>Luzhou</t>
    <phoneticPr fontId="11" type="noConversion"/>
  </si>
  <si>
    <t>Chengdu</t>
    <phoneticPr fontId="11" type="noConversion"/>
  </si>
  <si>
    <t>Wuhu</t>
    <phoneticPr fontId="7" type="noConversion"/>
  </si>
  <si>
    <t>Lu'An</t>
    <phoneticPr fontId="7" type="noConversion"/>
  </si>
  <si>
    <t>Huainan</t>
    <phoneticPr fontId="7" type="noConversion"/>
  </si>
  <si>
    <t>Hai'An</t>
    <phoneticPr fontId="11" type="noConversion"/>
  </si>
  <si>
    <t>Changxing</t>
    <phoneticPr fontId="7" type="noConversion"/>
  </si>
  <si>
    <t>Xiangyang</t>
    <phoneticPr fontId="7" type="noConversion"/>
  </si>
  <si>
    <t>Inner Mongolia</t>
    <phoneticPr fontId="7" type="noConversion"/>
  </si>
  <si>
    <t>Tongliao</t>
    <phoneticPr fontId="7" type="noConversion"/>
  </si>
  <si>
    <t>Xuzhou</t>
  </si>
  <si>
    <t>From  Jan 01, 2025 to Dec 31, 2025</t>
    <phoneticPr fontId="7" type="noConversion"/>
  </si>
  <si>
    <t>HUbei</t>
    <phoneticPr fontId="7" type="noConversion"/>
  </si>
  <si>
    <t>From  Jul 01, 2025 to Sep 30, 2025</t>
    <phoneticPr fontId="7" type="noConversion"/>
  </si>
  <si>
    <t>Location code</t>
    <phoneticPr fontId="7" type="noConversion"/>
  </si>
  <si>
    <t>CNLYG</t>
    <phoneticPr fontId="7" type="noConversion"/>
  </si>
  <si>
    <t>CNANJ</t>
    <phoneticPr fontId="7" type="noConversion"/>
  </si>
  <si>
    <t>CNHIN</t>
    <phoneticPr fontId="7" type="noConversion"/>
  </si>
  <si>
    <t>CNDFG</t>
    <phoneticPr fontId="7" type="noConversion"/>
  </si>
  <si>
    <t>CNTAG</t>
    <phoneticPr fontId="7" type="noConversion"/>
  </si>
  <si>
    <t>CNNKG</t>
    <phoneticPr fontId="7" type="noConversion"/>
  </si>
  <si>
    <t>CNNTG</t>
    <phoneticPr fontId="7" type="noConversion"/>
  </si>
  <si>
    <t>CNCZX</t>
    <phoneticPr fontId="7" type="noConversion"/>
  </si>
  <si>
    <t>CNTZO</t>
    <phoneticPr fontId="7" type="noConversion"/>
  </si>
  <si>
    <t>CNYZH</t>
    <phoneticPr fontId="7" type="noConversion"/>
  </si>
  <si>
    <t>CNZHE</t>
    <phoneticPr fontId="7" type="noConversion"/>
  </si>
  <si>
    <t>CNZJG</t>
    <phoneticPr fontId="7" type="noConversion"/>
  </si>
  <si>
    <t>CNCGU</t>
    <phoneticPr fontId="7" type="noConversion"/>
  </si>
  <si>
    <t>CNJIA</t>
    <phoneticPr fontId="7" type="noConversion"/>
  </si>
  <si>
    <t>CNRUG</t>
    <phoneticPr fontId="7" type="noConversion"/>
  </si>
  <si>
    <t>CNJTN</t>
    <phoneticPr fontId="7" type="noConversion"/>
  </si>
  <si>
    <t>CNSQN</t>
    <phoneticPr fontId="7" type="noConversion"/>
  </si>
  <si>
    <t>Huaian</t>
    <phoneticPr fontId="11" type="noConversion"/>
  </si>
  <si>
    <t>CNHUN</t>
    <phoneticPr fontId="7" type="noConversion"/>
  </si>
  <si>
    <t>CNHFE</t>
    <phoneticPr fontId="7" type="noConversion"/>
  </si>
  <si>
    <t>CNWHI</t>
    <phoneticPr fontId="7" type="noConversion"/>
  </si>
  <si>
    <t>CNAQG</t>
    <phoneticPr fontId="7" type="noConversion"/>
  </si>
  <si>
    <t>CNMAA</t>
    <phoneticPr fontId="7" type="noConversion"/>
  </si>
  <si>
    <t>CNWUH</t>
    <phoneticPr fontId="7" type="noConversion"/>
  </si>
  <si>
    <t>CNCLJ/CNYUY</t>
    <phoneticPr fontId="7" type="noConversion"/>
  </si>
  <si>
    <t>CNCSX</t>
    <phoneticPr fontId="7" type="noConversion"/>
  </si>
  <si>
    <t>CNJIU</t>
    <phoneticPr fontId="7" type="noConversion"/>
  </si>
  <si>
    <t>CNKHN</t>
    <phoneticPr fontId="7" type="noConversion"/>
  </si>
  <si>
    <t>CNHSI</t>
    <phoneticPr fontId="7" type="noConversion"/>
  </si>
  <si>
    <t>Barge</t>
    <phoneticPr fontId="7" type="noConversion"/>
  </si>
  <si>
    <t>CNJGZ</t>
    <phoneticPr fontId="7" type="noConversion"/>
  </si>
  <si>
    <t>CNYIC</t>
    <phoneticPr fontId="7" type="noConversion"/>
  </si>
  <si>
    <t>CNCKG</t>
    <phoneticPr fontId="7" type="noConversion"/>
  </si>
  <si>
    <t>CNYBN</t>
    <phoneticPr fontId="7" type="noConversion"/>
  </si>
  <si>
    <t>CNLZU</t>
    <phoneticPr fontId="7" type="noConversion"/>
  </si>
  <si>
    <t>CNCTU</t>
    <phoneticPr fontId="7" type="noConversion"/>
  </si>
  <si>
    <t>CNCZH</t>
    <phoneticPr fontId="7" type="noConversion"/>
  </si>
  <si>
    <t>CNBFU</t>
    <phoneticPr fontId="7" type="noConversion"/>
  </si>
  <si>
    <t>N/A</t>
    <phoneticPr fontId="7" type="noConversion"/>
  </si>
  <si>
    <t>N/A</t>
  </si>
  <si>
    <t>CNWNZ</t>
    <phoneticPr fontId="7" type="noConversion"/>
  </si>
  <si>
    <t>CNZAP</t>
    <phoneticPr fontId="7" type="noConversion"/>
  </si>
  <si>
    <t>Yantian</t>
    <phoneticPr fontId="7" type="noConversion"/>
  </si>
  <si>
    <t>Nansha/Yantian/Shekou/Dachan bay/Hong Kong via Qinzhou</t>
    <phoneticPr fontId="7" type="noConversion"/>
  </si>
  <si>
    <t>Specific Commodities* please contact hk.iop.sm@one-line.com</t>
    <phoneticPr fontId="7" type="noConversion"/>
  </si>
  <si>
    <t>Other Commodities*</t>
    <phoneticPr fontId="7" type="noConversion"/>
  </si>
  <si>
    <t>For NEV*</t>
    <phoneticPr fontId="7" type="noConversion"/>
  </si>
  <si>
    <t>Rail+3rd party feeder</t>
    <phoneticPr fontId="7" type="noConversion"/>
  </si>
  <si>
    <t>Singapore via Qinzhou
 (rail+3rd party feeder)</t>
    <phoneticPr fontId="7" type="noConversion"/>
  </si>
  <si>
    <t>Chengdu</t>
    <phoneticPr fontId="7" type="noConversion"/>
  </si>
  <si>
    <t>nil</t>
    <phoneticPr fontId="7" type="noConversion"/>
  </si>
  <si>
    <t>CNYIU</t>
    <phoneticPr fontId="7" type="noConversion"/>
  </si>
  <si>
    <t>Xiamen</t>
    <phoneticPr fontId="7" type="noConversion"/>
  </si>
  <si>
    <t>CNXAN</t>
    <phoneticPr fontId="7" type="noConversion"/>
  </si>
  <si>
    <t>CNKHN</t>
  </si>
  <si>
    <t>Yantian/Shekou</t>
    <phoneticPr fontId="7" type="noConversion"/>
  </si>
  <si>
    <t>Nansha</t>
    <phoneticPr fontId="7" type="noConversion"/>
  </si>
  <si>
    <t>Nanchang</t>
  </si>
  <si>
    <t>Xiamen</t>
  </si>
  <si>
    <t>CNYNT</t>
    <phoneticPr fontId="7" type="noConversion"/>
  </si>
  <si>
    <t>CNWEI</t>
    <phoneticPr fontId="7" type="noConversion"/>
  </si>
  <si>
    <t>CNRZH</t>
    <phoneticPr fontId="7" type="noConversion"/>
  </si>
  <si>
    <t>CNSHD</t>
    <phoneticPr fontId="7" type="noConversion"/>
  </si>
  <si>
    <t>CNCGO</t>
    <phoneticPr fontId="7" type="noConversion"/>
  </si>
  <si>
    <t>CNYIH</t>
    <phoneticPr fontId="7" type="noConversion"/>
  </si>
  <si>
    <t>CNCGQ</t>
    <phoneticPr fontId="7" type="noConversion"/>
  </si>
  <si>
    <t>CNSHE</t>
    <phoneticPr fontId="7" type="noConversion"/>
  </si>
  <si>
    <t>CNTNL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</si>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</sst>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-\$#,##0.00;"/>
    <numFmt numFmtId="165" formatCode="\$#,##0.00;[Red]\-\$#,##0.00"/>
    <numFmt numFmtId="166" formatCode="0_ ;[Red]\-0\ "/>
    <numFmt numFmtId="167" formatCode="&quot;¥&quot;#,##0;[Red]&quot;¥&quot;\-#,##0"/>
  </numFmts>
  <fonts count="51">
    <font>
      <sz val="11"/>
      <color theme="1"/>
      <name val="Calibri"/>
      <family val="2"/>
      <scheme val="minor"/>
    </font>
    <font>
      <sz val="9"/>
      <color rgb="FFFFFFFF"/>
      <name val="Tahoma"/>
      <family val="2"/>
    </font>
    <font>
      <sz val="9"/>
      <color rgb="FFC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</font>
    <font>
      <sz val="9"/>
      <color indexed="81"/>
      <name val="宋体"/>
    </font>
    <font>
      <sz val="10"/>
      <name val="DengXian"/>
      <charset val="13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6"/>
      <color rgb="FF000000"/>
      <name val="Calibri"/>
      <family val="2"/>
    </font>
    <font>
      <b/>
      <sz val="10"/>
      <color rgb="FFFFFFFE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Calibri"/>
      <family val="2"/>
      <scheme val="minor"/>
    </font>
    <font>
      <b/>
      <sz val="14"/>
      <name val="等线"/>
      <family val="3"/>
      <charset val="134"/>
    </font>
    <font>
      <sz val="11"/>
      <name val="Calibri"/>
      <family val="2"/>
      <scheme val="minor"/>
    </font>
    <font>
      <sz val="11"/>
      <name val="SimSun"/>
    </font>
    <font>
      <sz val="11"/>
      <color rgb="FFFF0000"/>
      <name val="SimSun"/>
    </font>
    <font>
      <b/>
      <sz val="11"/>
      <name val="SimSun"/>
    </font>
    <font>
      <sz val="11"/>
      <name val="Calibri"/>
      <family val="2"/>
      <scheme val="minor"/>
    </font>
    <font>
      <sz val="11"/>
      <name val="SimSun"/>
    </font>
    <font>
      <sz val="10"/>
      <name val="宋体"/>
      <family val="2"/>
      <charset val="134"/>
    </font>
    <font>
      <b/>
      <sz val="11"/>
      <color theme="1"/>
      <name val="SimSun"/>
    </font>
    <font>
      <sz val="12"/>
      <color rgb="FF222222"/>
      <name val="Arial"/>
      <family val="2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2"/>
      <color rgb="FF500050"/>
      <name val="Verdana"/>
      <family val="2"/>
    </font>
    <font>
      <sz val="11"/>
      <name val="Calibri"/>
      <family val="2"/>
      <scheme val="minor"/>
    </font>
    <font>
      <sz val="11"/>
      <name val="SimSun"/>
    </font>
    <font>
      <sz val="11"/>
      <color rgb="FFFF0000"/>
      <name val="SimSun"/>
    </font>
    <font>
      <sz val="11"/>
      <name val="Calibri"/>
      <charset val="134"/>
      <scheme val="minor"/>
    </font>
    <font>
      <sz val="11"/>
      <name val="SimSun"/>
      <charset val="134"/>
    </font>
    <font>
      <b/>
      <sz val="11"/>
      <name val="SimSun"/>
      <charset val="134"/>
    </font>
    <font>
      <sz val="10"/>
      <color rgb="FFFF0000"/>
      <name val="Arial"/>
      <family val="2"/>
    </font>
    <font>
      <sz val="1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darkGray"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27415D"/>
        <bgColor rgb="FF27415D"/>
      </patternFill>
    </fill>
    <fill>
      <patternFill patternType="solid">
        <fgColor rgb="FFD0CE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4.9989318521683403E-2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ck">
        <color rgb="FF808080"/>
      </bottom>
      <diagonal/>
    </border>
    <border>
      <left style="thick">
        <color rgb="FF808080"/>
      </left>
      <right/>
      <top style="thick">
        <color rgb="FF808080"/>
      </top>
      <bottom/>
      <diagonal/>
    </border>
    <border>
      <left/>
      <right/>
      <top style="thick">
        <color rgb="FF808080"/>
      </top>
      <bottom/>
      <diagonal/>
    </border>
    <border>
      <left style="medium">
        <color rgb="FF808080"/>
      </left>
      <right/>
      <top style="thick">
        <color rgb="FF808080"/>
      </top>
      <bottom style="medium">
        <color rgb="FF808080"/>
      </bottom>
      <diagonal/>
    </border>
    <border>
      <left/>
      <right style="medium">
        <color rgb="FF808080"/>
      </right>
      <top style="thick">
        <color rgb="FF808080"/>
      </top>
      <bottom style="medium">
        <color rgb="FF808080"/>
      </bottom>
      <diagonal/>
    </border>
    <border>
      <left style="thick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 style="thick">
        <color rgb="FF808080"/>
      </left>
      <right style="thin">
        <color rgb="FF000000"/>
      </right>
      <top style="thin">
        <color rgb="FFA6A6A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A6A6A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80808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3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6" fontId="3" fillId="3" borderId="10" xfId="0" applyNumberFormat="1" applyFont="1" applyFill="1" applyBorder="1" applyAlignment="1">
      <alignment horizontal="center" vertical="center"/>
    </xf>
    <xf numFmtId="166" fontId="3" fillId="3" borderId="11" xfId="0" applyNumberFormat="1" applyFont="1" applyFill="1" applyBorder="1" applyAlignment="1">
      <alignment horizontal="center" vertical="center"/>
    </xf>
    <xf numFmtId="166" fontId="3" fillId="3" borderId="12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3" xfId="0" applyNumberFormat="1" applyFont="1" applyFill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5" fillId="0" borderId="26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2" xfId="0" applyBorder="1" applyAlignment="1">
      <alignment horizontal="center"/>
    </xf>
    <xf numFmtId="0" fontId="7" fillId="4" borderId="1" xfId="2" applyFont="1" applyFill="1" applyBorder="1" applyAlignment="1">
      <alignment horizontal="left"/>
    </xf>
    <xf numFmtId="0" fontId="9" fillId="4" borderId="22" xfId="2" applyFont="1" applyFill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9" fillId="4" borderId="1" xfId="2" applyFont="1" applyFill="1" applyBorder="1" applyAlignment="1">
      <alignment horizontal="left"/>
    </xf>
    <xf numFmtId="0" fontId="10" fillId="5" borderId="33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6" borderId="3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1" fillId="7" borderId="33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25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22" xfId="0" applyFont="1" applyFill="1" applyBorder="1" applyAlignment="1">
      <alignment horizontal="center"/>
    </xf>
    <xf numFmtId="0" fontId="7" fillId="4" borderId="22" xfId="2" applyFont="1" applyFill="1" applyBorder="1" applyAlignment="1">
      <alignment horizontal="center"/>
    </xf>
    <xf numFmtId="0" fontId="9" fillId="4" borderId="1" xfId="2" applyFont="1" applyFill="1" applyBorder="1" applyAlignment="1">
      <alignment vertical="center" wrapText="1"/>
    </xf>
    <xf numFmtId="0" fontId="9" fillId="4" borderId="22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wrapText="1"/>
    </xf>
    <xf numFmtId="0" fontId="9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9" fillId="4" borderId="22" xfId="2" applyFont="1" applyFill="1" applyBorder="1" applyAlignment="1">
      <alignment horizontal="center" wrapText="1"/>
    </xf>
    <xf numFmtId="0" fontId="10" fillId="9" borderId="33" xfId="0" applyFont="1" applyFill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10" borderId="33" xfId="0" applyFont="1" applyFill="1" applyBorder="1" applyAlignment="1">
      <alignment horizontal="center"/>
    </xf>
    <xf numFmtId="0" fontId="10" fillId="10" borderId="0" xfId="0" applyFont="1" applyFill="1" applyAlignment="1">
      <alignment horizontal="center"/>
    </xf>
    <xf numFmtId="0" fontId="10" fillId="10" borderId="25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2" applyFont="1" applyFill="1" applyBorder="1" applyAlignment="1">
      <alignment wrapText="1"/>
    </xf>
    <xf numFmtId="0" fontId="10" fillId="11" borderId="0" xfId="0" applyFont="1" applyFill="1" applyAlignment="1">
      <alignment horizontal="center"/>
    </xf>
    <xf numFmtId="0" fontId="10" fillId="11" borderId="25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center" wrapText="1"/>
    </xf>
    <xf numFmtId="0" fontId="9" fillId="4" borderId="22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4" borderId="1" xfId="2" applyFont="1" applyFill="1" applyBorder="1" applyAlignment="1">
      <alignment horizontal="left" vertical="center" wrapText="1"/>
    </xf>
    <xf numFmtId="0" fontId="10" fillId="9" borderId="18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19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Protection="1">
      <protection locked="0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Protection="1">
      <protection locked="0"/>
    </xf>
    <xf numFmtId="1" fontId="12" fillId="0" borderId="1" xfId="0" applyNumberFormat="1" applyFont="1" applyBorder="1" applyAlignment="1" applyProtection="1">
      <alignment horizontal="center"/>
      <protection locked="0"/>
    </xf>
    <xf numFmtId="49" fontId="13" fillId="5" borderId="1" xfId="0" applyNumberFormat="1" applyFont="1" applyFill="1" applyBorder="1" applyAlignment="1">
      <alignment vertical="center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vertical="center"/>
    </xf>
    <xf numFmtId="0" fontId="12" fillId="8" borderId="1" xfId="0" applyFont="1" applyFill="1" applyBorder="1"/>
    <xf numFmtId="0" fontId="12" fillId="8" borderId="1" xfId="0" applyFont="1" applyFill="1" applyBorder="1" applyAlignment="1">
      <alignment horizontal="center"/>
    </xf>
    <xf numFmtId="0" fontId="12" fillId="12" borderId="1" xfId="0" applyFont="1" applyFill="1" applyBorder="1"/>
    <xf numFmtId="0" fontId="12" fillId="12" borderId="1" xfId="0" applyFont="1" applyFill="1" applyBorder="1" applyAlignment="1">
      <alignment horizontal="center"/>
    </xf>
    <xf numFmtId="0" fontId="12" fillId="13" borderId="1" xfId="0" applyFont="1" applyFill="1" applyBorder="1"/>
    <xf numFmtId="0" fontId="12" fillId="1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vertical="center"/>
    </xf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vertical="center"/>
    </xf>
    <xf numFmtId="0" fontId="12" fillId="15" borderId="1" xfId="0" applyFont="1" applyFill="1" applyBorder="1" applyAlignment="1">
      <alignment horizontal="center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/>
    </xf>
    <xf numFmtId="0" fontId="12" fillId="16" borderId="1" xfId="0" applyFont="1" applyFill="1" applyBorder="1"/>
    <xf numFmtId="0" fontId="12" fillId="16" borderId="1" xfId="0" applyFont="1" applyFill="1" applyBorder="1" applyAlignment="1">
      <alignment horizontal="center"/>
    </xf>
    <xf numFmtId="166" fontId="5" fillId="0" borderId="38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66" fontId="5" fillId="0" borderId="14" xfId="0" applyNumberFormat="1" applyFont="1" applyBorder="1" applyAlignment="1">
      <alignment horizontal="center" vertical="center"/>
    </xf>
    <xf numFmtId="166" fontId="5" fillId="0" borderId="43" xfId="0" applyNumberFormat="1" applyFont="1" applyBorder="1" applyAlignment="1">
      <alignment horizontal="center" vertical="center"/>
    </xf>
    <xf numFmtId="166" fontId="5" fillId="0" borderId="20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166" fontId="5" fillId="0" borderId="4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/>
    </xf>
    <xf numFmtId="166" fontId="15" fillId="0" borderId="23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17" borderId="1" xfId="0" applyFont="1" applyFill="1" applyBorder="1"/>
    <xf numFmtId="0" fontId="12" fillId="17" borderId="1" xfId="0" applyFont="1" applyFill="1" applyBorder="1" applyAlignment="1">
      <alignment horizontal="center"/>
    </xf>
    <xf numFmtId="0" fontId="9" fillId="4" borderId="1" xfId="2" applyFont="1" applyFill="1" applyBorder="1" applyAlignment="1">
      <alignment horizontal="left" wrapText="1"/>
    </xf>
    <xf numFmtId="0" fontId="17" fillId="0" borderId="0" xfId="0" applyFont="1" applyAlignment="1">
      <alignment vertical="center"/>
    </xf>
    <xf numFmtId="166" fontId="5" fillId="0" borderId="46" xfId="0" applyNumberFormat="1" applyFont="1" applyBorder="1" applyAlignment="1">
      <alignment horizontal="center" vertical="center"/>
    </xf>
    <xf numFmtId="166" fontId="5" fillId="2" borderId="24" xfId="0" applyNumberFormat="1" applyFont="1" applyFill="1" applyBorder="1" applyAlignment="1">
      <alignment horizontal="center" vertical="center"/>
    </xf>
    <xf numFmtId="166" fontId="5" fillId="0" borderId="47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166" fontId="5" fillId="0" borderId="6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6" fontId="5" fillId="0" borderId="3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66" fontId="5" fillId="0" borderId="45" xfId="0" applyNumberFormat="1" applyFont="1" applyBorder="1" applyAlignment="1">
      <alignment horizontal="center" vertical="center"/>
    </xf>
    <xf numFmtId="0" fontId="5" fillId="19" borderId="42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2" borderId="47" xfId="0" applyNumberFormat="1" applyFont="1" applyFill="1" applyBorder="1" applyAlignment="1">
      <alignment horizontal="center" vertical="center"/>
    </xf>
    <xf numFmtId="166" fontId="5" fillId="2" borderId="43" xfId="0" applyNumberFormat="1" applyFont="1" applyFill="1" applyBorder="1" applyAlignment="1">
      <alignment horizontal="center" vertical="center"/>
    </xf>
    <xf numFmtId="166" fontId="5" fillId="2" borderId="20" xfId="0" applyNumberFormat="1" applyFont="1" applyFill="1" applyBorder="1" applyAlignment="1">
      <alignment horizontal="center" vertical="center"/>
    </xf>
    <xf numFmtId="166" fontId="15" fillId="0" borderId="21" xfId="0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2" fillId="5" borderId="1" xfId="0" applyFont="1" applyFill="1" applyBorder="1"/>
    <xf numFmtId="0" fontId="0" fillId="5" borderId="0" xfId="0" applyFill="1" applyAlignment="1">
      <alignment horizontal="left" vertical="top"/>
    </xf>
    <xf numFmtId="0" fontId="12" fillId="12" borderId="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2" fillId="0" borderId="0" xfId="0" applyFont="1"/>
    <xf numFmtId="49" fontId="24" fillId="20" borderId="81" xfId="0" applyNumberFormat="1" applyFont="1" applyFill="1" applyBorder="1" applyAlignment="1">
      <alignment horizontal="center" vertical="center" wrapText="1"/>
    </xf>
    <xf numFmtId="49" fontId="25" fillId="20" borderId="8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6" fillId="13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21" fillId="3" borderId="70" xfId="0" applyNumberFormat="1" applyFont="1" applyFill="1" applyBorder="1" applyAlignment="1">
      <alignment horizontal="center" vertical="center"/>
    </xf>
    <xf numFmtId="166" fontId="21" fillId="3" borderId="67" xfId="0" applyNumberFormat="1" applyFont="1" applyFill="1" applyBorder="1" applyAlignment="1">
      <alignment horizontal="center" vertical="center"/>
    </xf>
    <xf numFmtId="166" fontId="21" fillId="3" borderId="68" xfId="0" applyNumberFormat="1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166" fontId="5" fillId="0" borderId="82" xfId="0" applyNumberFormat="1" applyFont="1" applyBorder="1" applyAlignment="1">
      <alignment horizontal="center" vertical="center"/>
    </xf>
    <xf numFmtId="166" fontId="5" fillId="0" borderId="77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6" fillId="0" borderId="0" xfId="0" applyFont="1"/>
    <xf numFmtId="166" fontId="32" fillId="0" borderId="0" xfId="0" applyNumberFormat="1" applyFont="1" applyAlignment="1">
      <alignment vertical="center"/>
    </xf>
    <xf numFmtId="166" fontId="33" fillId="0" borderId="0" xfId="0" applyNumberFormat="1" applyFont="1" applyAlignment="1">
      <alignment vertical="center"/>
    </xf>
    <xf numFmtId="166" fontId="35" fillId="0" borderId="0" xfId="0" applyNumberFormat="1" applyFont="1" applyAlignment="1">
      <alignment vertical="center"/>
    </xf>
    <xf numFmtId="0" fontId="37" fillId="4" borderId="1" xfId="0" applyFont="1" applyFill="1" applyBorder="1"/>
    <xf numFmtId="0" fontId="37" fillId="4" borderId="1" xfId="0" applyFont="1" applyFill="1" applyBorder="1" applyAlignment="1">
      <alignment horizontal="center"/>
    </xf>
    <xf numFmtId="0" fontId="38" fillId="0" borderId="0" xfId="0" applyFont="1" applyAlignment="1">
      <alignment wrapText="1"/>
    </xf>
    <xf numFmtId="0" fontId="39" fillId="0" borderId="91" xfId="0" applyFont="1" applyBorder="1" applyAlignment="1">
      <alignment horizontal="center" wrapText="1"/>
    </xf>
    <xf numFmtId="0" fontId="38" fillId="0" borderId="92" xfId="0" applyFont="1" applyBorder="1" applyAlignment="1">
      <alignment wrapText="1"/>
    </xf>
    <xf numFmtId="0" fontId="40" fillId="0" borderId="92" xfId="0" applyFont="1" applyBorder="1" applyAlignment="1">
      <alignment wrapText="1"/>
    </xf>
    <xf numFmtId="0" fontId="39" fillId="21" borderId="95" xfId="0" applyFont="1" applyFill="1" applyBorder="1" applyAlignment="1">
      <alignment horizontal="right" wrapText="1"/>
    </xf>
    <xf numFmtId="0" fontId="39" fillId="21" borderId="96" xfId="0" applyFont="1" applyFill="1" applyBorder="1" applyAlignment="1">
      <alignment wrapText="1"/>
    </xf>
    <xf numFmtId="0" fontId="39" fillId="21" borderId="96" xfId="0" applyFont="1" applyFill="1" applyBorder="1" applyAlignment="1">
      <alignment horizontal="center" wrapText="1"/>
    </xf>
    <xf numFmtId="0" fontId="41" fillId="21" borderId="97" xfId="0" applyFont="1" applyFill="1" applyBorder="1" applyAlignment="1">
      <alignment horizontal="center" wrapText="1"/>
    </xf>
    <xf numFmtId="0" fontId="38" fillId="22" borderId="98" xfId="0" applyFont="1" applyFill="1" applyBorder="1" applyAlignment="1">
      <alignment wrapText="1"/>
    </xf>
    <xf numFmtId="0" fontId="38" fillId="22" borderId="99" xfId="0" applyFont="1" applyFill="1" applyBorder="1" applyAlignment="1">
      <alignment horizontal="center" wrapText="1"/>
    </xf>
    <xf numFmtId="0" fontId="38" fillId="22" borderId="100" xfId="0" applyFont="1" applyFill="1" applyBorder="1" applyAlignment="1">
      <alignment horizontal="center" wrapText="1"/>
    </xf>
    <xf numFmtId="0" fontId="38" fillId="0" borderId="101" xfId="0" applyFont="1" applyBorder="1" applyAlignment="1">
      <alignment wrapText="1"/>
    </xf>
    <xf numFmtId="0" fontId="38" fillId="22" borderId="102" xfId="0" applyFont="1" applyFill="1" applyBorder="1" applyAlignment="1">
      <alignment wrapText="1"/>
    </xf>
    <xf numFmtId="0" fontId="38" fillId="0" borderId="99" xfId="0" applyFont="1" applyBorder="1" applyAlignment="1">
      <alignment wrapText="1"/>
    </xf>
    <xf numFmtId="0" fontId="42" fillId="0" borderId="0" xfId="0" applyFont="1" applyAlignment="1">
      <alignment vertical="center" wrapText="1"/>
    </xf>
    <xf numFmtId="0" fontId="38" fillId="5" borderId="98" xfId="0" applyFont="1" applyFill="1" applyBorder="1" applyAlignment="1">
      <alignment wrapText="1"/>
    </xf>
    <xf numFmtId="0" fontId="38" fillId="5" borderId="99" xfId="0" applyFont="1" applyFill="1" applyBorder="1" applyAlignment="1">
      <alignment horizontal="center" wrapText="1"/>
    </xf>
    <xf numFmtId="0" fontId="38" fillId="5" borderId="100" xfId="0" applyFont="1" applyFill="1" applyBorder="1" applyAlignment="1">
      <alignment horizontal="center" wrapText="1"/>
    </xf>
    <xf numFmtId="0" fontId="38" fillId="5" borderId="99" xfId="0" applyFont="1" applyFill="1" applyBorder="1" applyAlignment="1">
      <alignment wrapText="1"/>
    </xf>
    <xf numFmtId="0" fontId="38" fillId="5" borderId="102" xfId="0" applyFont="1" applyFill="1" applyBorder="1" applyAlignment="1">
      <alignment wrapText="1"/>
    </xf>
    <xf numFmtId="0" fontId="37" fillId="0" borderId="1" xfId="0" applyFont="1" applyBorder="1" applyAlignment="1">
      <alignment horizontal="center"/>
    </xf>
    <xf numFmtId="0" fontId="37" fillId="6" borderId="1" xfId="0" applyFont="1" applyFill="1" applyBorder="1" applyAlignment="1">
      <alignment horizontal="center"/>
    </xf>
    <xf numFmtId="1" fontId="0" fillId="5" borderId="0" xfId="0" applyNumberFormat="1" applyFill="1"/>
    <xf numFmtId="1" fontId="17" fillId="5" borderId="0" xfId="0" applyNumberFormat="1" applyFont="1" applyFill="1"/>
    <xf numFmtId="0" fontId="21" fillId="23" borderId="79" xfId="0" applyFont="1" applyFill="1" applyBorder="1" applyAlignment="1">
      <alignment horizontal="center" vertical="center"/>
    </xf>
    <xf numFmtId="0" fontId="21" fillId="23" borderId="71" xfId="0" applyFont="1" applyFill="1" applyBorder="1" applyAlignment="1">
      <alignment horizontal="center" vertical="center"/>
    </xf>
    <xf numFmtId="166" fontId="21" fillId="23" borderId="71" xfId="0" applyNumberFormat="1" applyFont="1" applyFill="1" applyBorder="1" applyAlignment="1">
      <alignment horizontal="center" vertical="center"/>
    </xf>
    <xf numFmtId="166" fontId="21" fillId="23" borderId="80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5" fillId="0" borderId="74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166" fontId="5" fillId="0" borderId="74" xfId="0" applyNumberFormat="1" applyFont="1" applyBorder="1" applyAlignment="1">
      <alignment horizontal="center" vertical="center"/>
    </xf>
    <xf numFmtId="166" fontId="5" fillId="0" borderId="61" xfId="0" applyNumberFormat="1" applyFont="1" applyBorder="1" applyAlignment="1">
      <alignment horizontal="center" vertical="center"/>
    </xf>
    <xf numFmtId="166" fontId="5" fillId="0" borderId="62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166" fontId="5" fillId="0" borderId="69" xfId="0" applyNumberFormat="1" applyFont="1" applyBorder="1" applyAlignment="1">
      <alignment horizontal="center" vertical="center"/>
    </xf>
    <xf numFmtId="166" fontId="5" fillId="0" borderId="63" xfId="0" applyNumberFormat="1" applyFont="1" applyBorder="1" applyAlignment="1">
      <alignment horizontal="center" vertical="center"/>
    </xf>
    <xf numFmtId="166" fontId="5" fillId="0" borderId="64" xfId="0" applyNumberFormat="1" applyFont="1" applyBorder="1" applyAlignment="1">
      <alignment horizontal="center" vertical="center"/>
    </xf>
    <xf numFmtId="0" fontId="21" fillId="23" borderId="69" xfId="0" applyFont="1" applyFill="1" applyBorder="1" applyAlignment="1">
      <alignment horizontal="center" vertical="center"/>
    </xf>
    <xf numFmtId="0" fontId="21" fillId="23" borderId="63" xfId="0" applyFont="1" applyFill="1" applyBorder="1" applyAlignment="1">
      <alignment horizontal="center" vertical="center"/>
    </xf>
    <xf numFmtId="0" fontId="21" fillId="23" borderId="86" xfId="0" applyFont="1" applyFill="1" applyBorder="1" applyAlignment="1">
      <alignment horizontal="center" vertical="center"/>
    </xf>
    <xf numFmtId="0" fontId="21" fillId="23" borderId="87" xfId="0" applyFont="1" applyFill="1" applyBorder="1" applyAlignment="1">
      <alignment horizontal="center" vertical="center"/>
    </xf>
    <xf numFmtId="0" fontId="21" fillId="23" borderId="88" xfId="0" applyFont="1" applyFill="1" applyBorder="1" applyAlignment="1">
      <alignment horizontal="center" vertical="center"/>
    </xf>
    <xf numFmtId="0" fontId="21" fillId="23" borderId="81" xfId="0" applyFont="1" applyFill="1" applyBorder="1" applyAlignment="1">
      <alignment horizontal="center" vertical="center"/>
    </xf>
    <xf numFmtId="166" fontId="34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6" fontId="21" fillId="23" borderId="69" xfId="0" applyNumberFormat="1" applyFont="1" applyFill="1" applyBorder="1" applyAlignment="1">
      <alignment horizontal="center" vertical="center"/>
    </xf>
    <xf numFmtId="166" fontId="21" fillId="23" borderId="63" xfId="0" applyNumberFormat="1" applyFont="1" applyFill="1" applyBorder="1" applyAlignment="1">
      <alignment horizontal="center" vertical="center"/>
    </xf>
    <xf numFmtId="166" fontId="21" fillId="23" borderId="64" xfId="0" applyNumberFormat="1" applyFont="1" applyFill="1" applyBorder="1" applyAlignment="1">
      <alignment horizontal="center" vertical="center"/>
    </xf>
    <xf numFmtId="166" fontId="21" fillId="23" borderId="87" xfId="0" applyNumberFormat="1" applyFont="1" applyFill="1" applyBorder="1" applyAlignment="1">
      <alignment horizontal="center" vertical="center"/>
    </xf>
    <xf numFmtId="166" fontId="21" fillId="23" borderId="88" xfId="0" applyNumberFormat="1" applyFont="1" applyFill="1" applyBorder="1" applyAlignment="1">
      <alignment horizontal="center" vertical="center"/>
    </xf>
    <xf numFmtId="166" fontId="21" fillId="23" borderId="89" xfId="0" applyNumberFormat="1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166" fontId="5" fillId="0" borderId="59" xfId="0" applyNumberFormat="1" applyFont="1" applyBorder="1" applyAlignment="1">
      <alignment horizontal="center" vertical="center"/>
    </xf>
    <xf numFmtId="166" fontId="5" fillId="0" borderId="60" xfId="0" applyNumberFormat="1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0" fontId="27" fillId="0" borderId="77" xfId="0" applyFont="1" applyBorder="1" applyAlignment="1">
      <alignment horizontal="center" vertical="center"/>
    </xf>
    <xf numFmtId="0" fontId="27" fillId="0" borderId="78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166" fontId="21" fillId="3" borderId="73" xfId="0" applyNumberFormat="1" applyFont="1" applyFill="1" applyBorder="1" applyAlignment="1">
      <alignment horizontal="center" vertical="center"/>
    </xf>
    <xf numFmtId="166" fontId="21" fillId="3" borderId="59" xfId="0" applyNumberFormat="1" applyFont="1" applyFill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21" fillId="0" borderId="104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21" fillId="0" borderId="105" xfId="0" applyFont="1" applyBorder="1" applyAlignment="1">
      <alignment horizontal="center" vertical="center"/>
    </xf>
    <xf numFmtId="0" fontId="21" fillId="0" borderId="112" xfId="0" applyFont="1" applyBorder="1" applyAlignment="1">
      <alignment horizontal="center" vertical="center"/>
    </xf>
    <xf numFmtId="166" fontId="21" fillId="3" borderId="106" xfId="0" applyNumberFormat="1" applyFont="1" applyFill="1" applyBorder="1" applyAlignment="1">
      <alignment horizontal="center" vertical="center"/>
    </xf>
    <xf numFmtId="166" fontId="21" fillId="3" borderId="107" xfId="0" applyNumberFormat="1" applyFont="1" applyFill="1" applyBorder="1" applyAlignment="1">
      <alignment horizontal="center" vertical="center"/>
    </xf>
    <xf numFmtId="166" fontId="21" fillId="3" borderId="108" xfId="0" applyNumberFormat="1" applyFont="1" applyFill="1" applyBorder="1" applyAlignment="1">
      <alignment horizontal="center" vertical="center"/>
    </xf>
    <xf numFmtId="166" fontId="21" fillId="3" borderId="83" xfId="0" applyNumberFormat="1" applyFont="1" applyFill="1" applyBorder="1" applyAlignment="1">
      <alignment horizontal="center" vertical="center"/>
    </xf>
    <xf numFmtId="166" fontId="21" fillId="3" borderId="109" xfId="0" applyNumberFormat="1" applyFont="1" applyFill="1" applyBorder="1" applyAlignment="1">
      <alignment horizontal="center" vertical="center"/>
    </xf>
    <xf numFmtId="0" fontId="21" fillId="0" borderId="103" xfId="0" applyFont="1" applyBorder="1" applyAlignment="1">
      <alignment horizontal="center" vertical="center"/>
    </xf>
    <xf numFmtId="0" fontId="21" fillId="0" borderId="110" xfId="0" applyFont="1" applyBorder="1" applyAlignment="1">
      <alignment horizontal="center" vertical="center"/>
    </xf>
    <xf numFmtId="0" fontId="38" fillId="0" borderId="90" xfId="0" applyFont="1" applyBorder="1" applyAlignment="1">
      <alignment horizontal="center" wrapText="1"/>
    </xf>
    <xf numFmtId="0" fontId="41" fillId="21" borderId="93" xfId="0" applyFont="1" applyFill="1" applyBorder="1" applyAlignment="1">
      <alignment horizontal="center" wrapText="1"/>
    </xf>
    <xf numFmtId="0" fontId="41" fillId="21" borderId="94" xfId="0" applyFont="1" applyFill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23" fillId="0" borderId="6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7" fontId="5" fillId="18" borderId="55" xfId="0" applyNumberFormat="1" applyFont="1" applyFill="1" applyBorder="1" applyAlignment="1">
      <alignment horizontal="center" vertical="center"/>
    </xf>
    <xf numFmtId="167" fontId="5" fillId="18" borderId="56" xfId="0" applyNumberFormat="1" applyFont="1" applyFill="1" applyBorder="1" applyAlignment="1">
      <alignment horizontal="center" vertical="center"/>
    </xf>
    <xf numFmtId="167" fontId="5" fillId="18" borderId="57" xfId="0" applyNumberFormat="1" applyFont="1" applyFill="1" applyBorder="1" applyAlignment="1">
      <alignment horizontal="center" vertical="center"/>
    </xf>
    <xf numFmtId="166" fontId="5" fillId="18" borderId="48" xfId="0" applyNumberFormat="1" applyFont="1" applyFill="1" applyBorder="1" applyAlignment="1">
      <alignment horizontal="center" vertical="center"/>
    </xf>
    <xf numFmtId="166" fontId="5" fillId="18" borderId="49" xfId="0" applyNumberFormat="1" applyFont="1" applyFill="1" applyBorder="1" applyAlignment="1">
      <alignment horizontal="center" vertical="center"/>
    </xf>
    <xf numFmtId="166" fontId="5" fillId="18" borderId="50" xfId="0" applyNumberFormat="1" applyFont="1" applyFill="1" applyBorder="1" applyAlignment="1">
      <alignment horizontal="center" vertical="center"/>
    </xf>
    <xf numFmtId="166" fontId="5" fillId="18" borderId="33" xfId="0" applyNumberFormat="1" applyFont="1" applyFill="1" applyBorder="1" applyAlignment="1">
      <alignment horizontal="center" vertical="center"/>
    </xf>
    <xf numFmtId="166" fontId="5" fillId="18" borderId="0" xfId="0" applyNumberFormat="1" applyFont="1" applyFill="1" applyAlignment="1">
      <alignment horizontal="center" vertical="center"/>
    </xf>
    <xf numFmtId="166" fontId="5" fillId="18" borderId="25" xfId="0" applyNumberFormat="1" applyFont="1" applyFill="1" applyBorder="1" applyAlignment="1">
      <alignment horizontal="center" vertical="center"/>
    </xf>
    <xf numFmtId="166" fontId="5" fillId="18" borderId="51" xfId="0" applyNumberFormat="1" applyFont="1" applyFill="1" applyBorder="1" applyAlignment="1">
      <alignment horizontal="center" vertical="center"/>
    </xf>
    <xf numFmtId="166" fontId="5" fillId="18" borderId="52" xfId="0" applyNumberFormat="1" applyFont="1" applyFill="1" applyBorder="1" applyAlignment="1">
      <alignment horizontal="center" vertical="center"/>
    </xf>
    <xf numFmtId="166" fontId="5" fillId="18" borderId="53" xfId="0" applyNumberFormat="1" applyFont="1" applyFill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66" fontId="5" fillId="0" borderId="14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6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166" fontId="4" fillId="3" borderId="5" xfId="0" applyNumberFormat="1" applyFont="1" applyFill="1" applyBorder="1" applyAlignment="1">
      <alignment horizontal="center" vertical="center"/>
    </xf>
    <xf numFmtId="166" fontId="4" fillId="3" borderId="6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0" fontId="46" fillId="0" borderId="75" xfId="0" applyFont="1" applyBorder="1" applyAlignment="1">
      <alignment vertical="center"/>
    </xf>
    <xf numFmtId="0" fontId="46" fillId="0" borderId="58" xfId="0" applyFont="1" applyBorder="1" applyAlignment="1">
      <alignment vertical="center"/>
    </xf>
    <xf numFmtId="0" fontId="47" fillId="0" borderId="58" xfId="0" applyFont="1" applyBorder="1" applyAlignment="1">
      <alignment vertical="center"/>
    </xf>
    <xf numFmtId="0" fontId="47" fillId="0" borderId="72" xfId="0" applyFont="1" applyBorder="1" applyAlignment="1">
      <alignment vertical="center"/>
    </xf>
    <xf numFmtId="0" fontId="48" fillId="3" borderId="59" xfId="0" applyFont="1" applyFill="1" applyBorder="1" applyAlignment="1">
      <alignment vertical="center"/>
    </xf>
    <xf numFmtId="0" fontId="48" fillId="3" borderId="60" xfId="0" applyFont="1" applyFill="1" applyBorder="1" applyAlignment="1">
      <alignment vertical="center"/>
    </xf>
    <xf numFmtId="0" fontId="48" fillId="0" borderId="70" xfId="0" applyFont="1" applyBorder="1" applyAlignment="1">
      <alignment vertical="center"/>
    </xf>
    <xf numFmtId="0" fontId="48" fillId="0" borderId="67" xfId="0" applyFont="1" applyBorder="1" applyAlignment="1">
      <alignment vertical="center"/>
    </xf>
    <xf numFmtId="0" fontId="48" fillId="0" borderId="84" xfId="0" applyFont="1" applyBorder="1" applyAlignment="1">
      <alignment vertical="center"/>
    </xf>
    <xf numFmtId="166" fontId="49" fillId="0" borderId="63" xfId="0" applyNumberFormat="1" applyFont="1" applyBorder="1" applyAlignment="1">
      <alignment horizontal="center" vertical="center"/>
    </xf>
    <xf numFmtId="166" fontId="49" fillId="0" borderId="64" xfId="0" applyNumberFormat="1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9" fillId="0" borderId="86" xfId="0" applyFont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21" fillId="23" borderId="113" xfId="0" applyFont="1" applyFill="1" applyBorder="1" applyAlignment="1">
      <alignment horizontal="center" vertical="center"/>
    </xf>
    <xf numFmtId="0" fontId="21" fillId="23" borderId="113" xfId="0" applyFont="1" applyFill="1" applyBorder="1" applyAlignment="1">
      <alignment horizontal="left" vertical="center"/>
    </xf>
    <xf numFmtId="0" fontId="21" fillId="23" borderId="86" xfId="0" applyFont="1" applyFill="1" applyBorder="1" applyAlignment="1">
      <alignment horizontal="center" vertical="center" wrapText="1"/>
    </xf>
    <xf numFmtId="0" fontId="21" fillId="23" borderId="114" xfId="0" applyFont="1" applyFill="1" applyBorder="1" applyAlignment="1">
      <alignment horizontal="center" vertical="center"/>
    </xf>
    <xf numFmtId="0" fontId="21" fillId="23" borderId="115" xfId="0" applyFont="1" applyFill="1" applyBorder="1" applyAlignment="1">
      <alignment horizontal="center" vertical="center"/>
    </xf>
    <xf numFmtId="0" fontId="21" fillId="23" borderId="116" xfId="0" applyFont="1" applyFill="1" applyBorder="1" applyAlignment="1">
      <alignment horizontal="center" vertical="center"/>
    </xf>
    <xf numFmtId="166" fontId="21" fillId="23" borderId="117" xfId="0" applyNumberFormat="1" applyFont="1" applyFill="1" applyBorder="1" applyAlignment="1">
      <alignment horizontal="center" vertical="center"/>
    </xf>
    <xf numFmtId="166" fontId="21" fillId="23" borderId="118" xfId="0" applyNumberFormat="1" applyFont="1" applyFill="1" applyBorder="1" applyAlignment="1">
      <alignment horizontal="center" vertical="center"/>
    </xf>
    <xf numFmtId="166" fontId="21" fillId="23" borderId="119" xfId="0" applyNumberFormat="1" applyFont="1" applyFill="1" applyBorder="1" applyAlignment="1">
      <alignment horizontal="center" vertical="center"/>
    </xf>
    <xf numFmtId="0" fontId="21" fillId="23" borderId="120" xfId="0" applyFont="1" applyFill="1" applyBorder="1" applyAlignment="1">
      <alignment horizontal="center" vertical="center"/>
    </xf>
    <xf numFmtId="0" fontId="21" fillId="23" borderId="121" xfId="0" applyFont="1" applyFill="1" applyBorder="1" applyAlignment="1">
      <alignment horizontal="center" vertical="center"/>
    </xf>
    <xf numFmtId="0" fontId="21" fillId="23" borderId="122" xfId="0" applyFont="1" applyFill="1" applyBorder="1" applyAlignment="1">
      <alignment horizontal="center" vertical="center"/>
    </xf>
    <xf numFmtId="0" fontId="21" fillId="23" borderId="123" xfId="0" applyFont="1" applyFill="1" applyBorder="1" applyAlignment="1">
      <alignment horizontal="center" vertical="center"/>
    </xf>
    <xf numFmtId="0" fontId="21" fillId="23" borderId="124" xfId="0" applyFont="1" applyFill="1" applyBorder="1" applyAlignment="1">
      <alignment horizontal="center" vertical="center"/>
    </xf>
    <xf numFmtId="0" fontId="21" fillId="23" borderId="125" xfId="0" applyFont="1" applyFill="1" applyBorder="1" applyAlignment="1">
      <alignment horizontal="center" vertical="center"/>
    </xf>
    <xf numFmtId="166" fontId="21" fillId="23" borderId="126" xfId="0" applyNumberFormat="1" applyFont="1" applyFill="1" applyBorder="1" applyAlignment="1">
      <alignment horizontal="center" vertical="center"/>
    </xf>
    <xf numFmtId="166" fontId="21" fillId="23" borderId="124" xfId="0" applyNumberFormat="1" applyFont="1" applyFill="1" applyBorder="1" applyAlignment="1">
      <alignment horizontal="center" vertical="center"/>
    </xf>
    <xf numFmtId="166" fontId="21" fillId="23" borderId="127" xfId="0" applyNumberFormat="1" applyFont="1" applyFill="1" applyBorder="1" applyAlignment="1">
      <alignment horizontal="center" vertical="center"/>
    </xf>
    <xf numFmtId="166" fontId="21" fillId="0" borderId="74" xfId="0" applyNumberFormat="1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21" fillId="23" borderId="128" xfId="0" applyFont="1" applyFill="1" applyBorder="1" applyAlignment="1">
      <alignment horizontal="center" vertical="center"/>
    </xf>
    <xf numFmtId="166" fontId="21" fillId="23" borderId="79" xfId="0" applyNumberFormat="1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0" fontId="21" fillId="0" borderId="129" xfId="0" applyFont="1" applyBorder="1" applyAlignment="1">
      <alignment horizontal="center" vertical="center"/>
    </xf>
    <xf numFmtId="0" fontId="21" fillId="0" borderId="130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166" fontId="5" fillId="0" borderId="73" xfId="0" applyNumberFormat="1" applyFont="1" applyBorder="1" applyAlignment="1">
      <alignment horizontal="center" vertical="center"/>
    </xf>
  </cellXfs>
  <cellStyles count="3">
    <cellStyle name="Normal" xfId="0" builtinId="0"/>
    <cellStyle name="Normal_T-S feeder rates" xfId="2" xr:uid="{56C1B97A-D0B2-4211-B67E-728333538B79}"/>
    <cellStyle name="常规 4" xfId="1" xr:uid="{F5945F03-1443-4365-841E-61B2DEF6ED4B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i San Ong" refreshedDate="43382.807473263892" createdVersion="6" refreshedVersion="6" minRefreshableVersion="3" recordCount="1741" xr:uid="{B0EBBC04-A380-4FF1-885D-4BF4626DCBC4}">
  <cacheSource type="worksheet">
    <worksheetSource ref="A1:KO1742" sheet="Pricing Support Tool"/>
  </cacheSource>
  <cacheFields count="301">
    <cacheField name="SCOPE GROUP" numFmtId="0">
      <sharedItems/>
    </cacheField>
    <cacheField name="SCOPE" numFmtId="0">
      <sharedItems/>
    </cacheField>
    <cacheField name="TRADE" numFmtId="0">
      <sharedItems/>
    </cacheField>
    <cacheField name="SUB TRADE" numFmtId="0">
      <sharedItems/>
    </cacheField>
    <cacheField name="TRUNK SERVICE LANE" numFmtId="0">
      <sharedItems/>
    </cacheField>
    <cacheField name="TRUNK BOUND" numFmtId="0">
      <sharedItems/>
    </cacheField>
    <cacheField name="ROUTE" numFmtId="0">
      <sharedItems/>
    </cacheField>
    <cacheField name="TOTAL TRANSIT TIME" numFmtId="0">
      <sharedItems/>
    </cacheField>
    <cacheField name="PRIORITY" numFmtId="0">
      <sharedItems containsSemiMixedTypes="0" containsString="0" containsNumber="1" containsInteger="1" minValue="1" maxValue="3"/>
    </cacheField>
    <cacheField name="CARGO TYPE" numFmtId="0">
      <sharedItems/>
    </cacheField>
    <cacheField name="EQUIPMENT TYPE" numFmtId="0">
      <sharedItems/>
    </cacheField>
    <cacheField name="RECEIPT TYPE" numFmtId="0">
      <sharedItems/>
    </cacheField>
    <cacheField name="DELIVERY TYPE" numFmtId="0">
      <sharedItems/>
    </cacheField>
    <cacheField name="POR" numFmtId="0">
      <sharedItems count="75">
        <s v="INBLR"/>
        <s v="BDCGP"/>
        <s v="CNCKG"/>
        <s v="INDRI"/>
        <s v="CNFOS"/>
        <s v="CNFOC"/>
        <s v="CNGON"/>
        <s v="CNGOM"/>
        <s v="VNSGN"/>
        <s v="HKHKG"/>
        <s v="CNHUA"/>
        <s v="IDJKT"/>
        <s v="TWKHH"/>
        <s v="INKTP"/>
        <s v="TWKEL"/>
        <s v="CNNSA"/>
        <s v="INNSA"/>
        <s v="CNNGB"/>
        <s v="MYPEN"/>
        <s v="INPAV"/>
        <s v="KRPUS"/>
        <s v="CNTAO"/>
        <s v="CNSHA"/>
        <s v="CNSWA"/>
        <s v="CNSHK"/>
        <s v="TWTXG"/>
        <s v="TWTYN"/>
        <s v="CNWUH"/>
        <s v="CNXMN"/>
        <s v="CNXIL"/>
        <s v="CNTXG"/>
        <s v="CNYTN"/>
        <s v="CNCZX"/>
        <s v="INMAA"/>
        <s v="LKCMB"/>
        <s v="CNDLC"/>
        <s v="VNHPH"/>
        <s v="CNJMN"/>
        <s v="CNJIA"/>
        <s v="THLCH"/>
        <s v="THLKR"/>
        <s v="CNLUU"/>
        <s v="CNLYG"/>
        <s v="CNKHN"/>
        <s v="CNNKG"/>
        <s v="CNNTG"/>
        <s v="MYPGU"/>
        <s v="MYPKG"/>
        <s v="CNROQ"/>
        <s v="IDSRG"/>
        <s v="SGSIN"/>
        <s v="CNTAG"/>
        <s v="INTUT"/>
        <s v="CNZJG"/>
        <s v="CNZAP"/>
        <s v="CNZSN"/>
        <s v="CNZUH"/>
        <s v="THBKK"/>
        <s v="CNYQS"/>
        <s v="INCCU"/>
        <s v="CNCSX"/>
        <s v="INCOK"/>
        <s v="ZADUR"/>
        <s v="PHGES"/>
        <s v="PKKHI"/>
        <s v="NZLYT"/>
        <s v="INMUN"/>
        <s v="THSGZ"/>
        <s v="CNTZO"/>
        <s v="CNZHA"/>
        <s v="CNZHE"/>
        <s v="AEJEA"/>
        <s v="CNWHI"/>
        <s v="CNYNF"/>
        <s v="VNCMP"/>
      </sharedItems>
    </cacheField>
    <cacheField name="POR NAME" numFmtId="0">
      <sharedItems/>
    </cacheField>
    <cacheField name="POL" numFmtId="0">
      <sharedItems count="42">
        <s v="INNSA"/>
        <s v="INMAA"/>
        <s v="BDCGP"/>
        <s v="CNSHA"/>
        <s v="CNNGB"/>
        <s v="INPAV"/>
        <s v="INMUN"/>
        <s v="HKHKG"/>
        <s v="CNYTN"/>
        <s v="CNSHK"/>
        <s v="CNFOC"/>
        <s v="CNXMN"/>
        <s v="VNCMP"/>
        <s v="IDJKT"/>
        <s v="TWKEL"/>
        <s v="INKTP"/>
        <s v="MYPEN"/>
        <s v="KRPUS"/>
        <s v="CNTAO"/>
        <s v="CNTXG"/>
        <s v="LKCMB"/>
        <s v="CNDLC"/>
        <s v="CNNSA"/>
        <s v="CNFUG"/>
        <s v="VNHPH"/>
        <s v="VNSGN"/>
        <s v="TWKHH"/>
        <s v="THLCH"/>
        <s v="CNLYG"/>
        <s v="MYPGU"/>
        <s v="MYPKG"/>
        <s v="IDSRG"/>
        <s v="SGSIN"/>
        <s v="INTUT"/>
        <s v="INCCU"/>
        <s v="INCOK"/>
        <s v="ZADUR"/>
        <s v="PHGES"/>
        <s v="PKKHI"/>
        <s v="NZLYT"/>
        <s v="THSGZ"/>
        <s v="AEJEA"/>
      </sharedItems>
    </cacheField>
    <cacheField name="POL NAME" numFmtId="0">
      <sharedItems/>
    </cacheField>
    <cacheField name="POD" numFmtId="0">
      <sharedItems count="9">
        <s v="SVAQJ"/>
        <s v="CLANF"/>
        <s v="COBUN"/>
        <s v="PECLL"/>
        <s v="NICIO"/>
        <s v="CLCNL"/>
        <s v="ECGYE"/>
        <s v="CLIQQ"/>
        <s v="CLVAP"/>
      </sharedItems>
    </cacheField>
    <cacheField name="POD NAME" numFmtId="0">
      <sharedItems/>
    </cacheField>
    <cacheField name="DEL" numFmtId="0">
      <sharedItems/>
    </cacheField>
    <cacheField name="DEL NAME" numFmtId="0">
      <sharedItems/>
    </cacheField>
    <cacheField name="CM OFFER D2 (TEU)" numFmtId="164">
      <sharedItems containsNonDate="0" containsString="0" containsBlank="1"/>
    </cacheField>
    <cacheField name="CM OFFER D4 (TEU)" numFmtId="164">
      <sharedItems containsNonDate="0" containsString="0" containsBlank="1"/>
    </cacheField>
    <cacheField name="CM OFFER D5 (TEU)" numFmtId="164">
      <sharedItems containsNonDate="0" containsString="0" containsBlank="1"/>
    </cacheField>
    <cacheField name="CM OFFER D7 (TEU)" numFmtId="164">
      <sharedItems containsNonDate="0" containsString="0" containsBlank="1"/>
    </cacheField>
    <cacheField name="CM OFFER R2 (TEU)" numFmtId="164">
      <sharedItems containsNonDate="0" containsString="0" containsBlank="1"/>
    </cacheField>
    <cacheField name="CM OFFER R5 (TEU)" numFmtId="164">
      <sharedItems containsNonDate="0" containsString="0" containsBlank="1"/>
    </cacheField>
    <cacheField name="BASE RATE RESULT A D2" numFmtId="164">
      <sharedItems/>
    </cacheField>
    <cacheField name="BASE RATE RESULT A D4" numFmtId="164">
      <sharedItems/>
    </cacheField>
    <cacheField name="BASE RATE RESULT A D5" numFmtId="164">
      <sharedItems/>
    </cacheField>
    <cacheField name="BASE RATE RESULT A D7" numFmtId="164">
      <sharedItems/>
    </cacheField>
    <cacheField name="BASE RATE RESULT A R2" numFmtId="164">
      <sharedItems/>
    </cacheField>
    <cacheField name="BASE RATE RESULT A R5" numFmtId="164">
      <sharedItems/>
    </cacheField>
    <cacheField name="BASE RATE RESULT B D2" numFmtId="164">
      <sharedItems/>
    </cacheField>
    <cacheField name="BASE RATE RESULT B D4" numFmtId="164">
      <sharedItems/>
    </cacheField>
    <cacheField name="BASE RATE RESULT B D5" numFmtId="164">
      <sharedItems/>
    </cacheField>
    <cacheField name="BASE RATE RESULT B D7" numFmtId="164">
      <sharedItems/>
    </cacheField>
    <cacheField name="BASE RATE RESULT B R2" numFmtId="164">
      <sharedItems/>
    </cacheField>
    <cacheField name="BASE RATE RESULT B R5" numFmtId="164">
      <sharedItems/>
    </cacheField>
    <cacheField name="BASE RATE OFFER D2" numFmtId="164">
      <sharedItems containsNonDate="0" containsString="0" containsBlank="1"/>
    </cacheField>
    <cacheField name="BASE RATE OFFER D4" numFmtId="164">
      <sharedItems containsNonDate="0" containsString="0" containsBlank="1"/>
    </cacheField>
    <cacheField name="BASE RATE OFFER D5" numFmtId="164">
      <sharedItems containsNonDate="0" containsString="0" containsBlank="1"/>
    </cacheField>
    <cacheField name="BASE RATE OFFER D7" numFmtId="164">
      <sharedItems containsNonDate="0" containsString="0" containsBlank="1"/>
    </cacheField>
    <cacheField name="BASE RATE OFFER R2" numFmtId="164">
      <sharedItems containsNonDate="0" containsString="0" containsBlank="1"/>
    </cacheField>
    <cacheField name="BASE RATE OFFER R5" numFmtId="164">
      <sharedItems containsNonDate="0" containsString="0" containsBlank="1"/>
    </cacheField>
    <cacheField name="CM RESULT A D2 (TEU)" numFmtId="164">
      <sharedItems/>
    </cacheField>
    <cacheField name="CM RESULT A D4 (TEU)" numFmtId="164">
      <sharedItems/>
    </cacheField>
    <cacheField name="CM RESULT A D5 (TEU)" numFmtId="164">
      <sharedItems/>
    </cacheField>
    <cacheField name="CM RESULT A D7 (TEU)" numFmtId="164">
      <sharedItems/>
    </cacheField>
    <cacheField name="CM RESULT A R2 (TEU)" numFmtId="164">
      <sharedItems/>
    </cacheField>
    <cacheField name="CM RESULT A R5 (TEU)" numFmtId="164">
      <sharedItems/>
    </cacheField>
    <cacheField name="CM RESULT B D2 (TEU)" numFmtId="164">
      <sharedItems/>
    </cacheField>
    <cacheField name="CM RESULT B D4 (TEU)" numFmtId="164">
      <sharedItems/>
    </cacheField>
    <cacheField name="CM RESULT B D5 (TEU)" numFmtId="164">
      <sharedItems/>
    </cacheField>
    <cacheField name="CM RESULT B D7 (TEU)" numFmtId="164">
      <sharedItems/>
    </cacheField>
    <cacheField name="CM RESULT B R2 (TEU)" numFmtId="164">
      <sharedItems/>
    </cacheField>
    <cacheField name="CM RESULT B R5 (TEU)" numFmtId="164">
      <sharedItems/>
    </cacheField>
    <cacheField name="COST TOTAL A D2" numFmtId="165">
      <sharedItems containsSemiMixedTypes="0" containsString="0" containsNumber="1" minValue="174.73" maxValue="1302.03"/>
    </cacheField>
    <cacheField name="COST TOTAL A D4" numFmtId="165">
      <sharedItems containsSemiMixedTypes="0" containsString="0" containsNumber="1" minValue="207.69" maxValue="4900.17"/>
    </cacheField>
    <cacheField name="COST TOTAL A D5" numFmtId="165">
      <sharedItems containsSemiMixedTypes="0" containsString="0" containsNumber="1" minValue="94.56" maxValue="2222.0500000000002"/>
    </cacheField>
    <cacheField name="COST TOTAL A D7" numFmtId="165">
      <sharedItems containsSemiMixedTypes="0" containsString="0" containsNumber="1" minValue="292.16000000000003" maxValue="5261.79"/>
    </cacheField>
    <cacheField name="COST TOTAL A R2" numFmtId="165">
      <sharedItems containsSemiMixedTypes="0" containsString="0" containsNumber="1" containsInteger="1" minValue="0" maxValue="0"/>
    </cacheField>
    <cacheField name="COST TOTAL A R5" numFmtId="165">
      <sharedItems containsSemiMixedTypes="0" containsString="0" containsNumber="1" containsInteger="1" minValue="0" maxValue="0"/>
    </cacheField>
    <cacheField name="COST TOTAL B D2" numFmtId="165">
      <sharedItems containsSemiMixedTypes="0" containsString="0" containsNumber="1" minValue="174.73" maxValue="1302.03"/>
    </cacheField>
    <cacheField name="COST TOTAL B D4" numFmtId="165">
      <sharedItems containsSemiMixedTypes="0" containsString="0" containsNumber="1" minValue="207.69" maxValue="4900.17"/>
    </cacheField>
    <cacheField name="COST TOTAL B D5" numFmtId="165">
      <sharedItems containsSemiMixedTypes="0" containsString="0" containsNumber="1" minValue="94.56" maxValue="2222.0500000000002"/>
    </cacheField>
    <cacheField name="COST TOTAL B D7" numFmtId="165">
      <sharedItems containsSemiMixedTypes="0" containsString="0" containsNumber="1" minValue="292.16000000000003" maxValue="5261.79"/>
    </cacheField>
    <cacheField name="COST TOTAL B R2" numFmtId="165">
      <sharedItems containsSemiMixedTypes="0" containsString="0" containsNumber="1" containsInteger="1" minValue="0" maxValue="0"/>
    </cacheField>
    <cacheField name="COST TOTAL B R5" numFmtId="165">
      <sharedItems containsSemiMixedTypes="0" containsString="0" containsNumber="1" containsInteger="1" minValue="0" maxValue="0"/>
    </cacheField>
    <cacheField name="EMPTY PICK UP" numFmtId="0">
      <sharedItems/>
    </cacheField>
    <cacheField name="ORIGIN EPP A D2" numFmtId="165">
      <sharedItems containsSemiMixedTypes="0" containsString="0" containsNumber="1" minValue="-95.882173162000001" maxValue="283.74309242200002"/>
    </cacheField>
    <cacheField name="ORIGIN EPP A D4" numFmtId="165">
      <sharedItems containsSemiMixedTypes="0" containsString="0" containsNumber="1" minValue="-160.459851552" maxValue="4019.8227142699998"/>
    </cacheField>
    <cacheField name="ORIGIN EPP A D5" numFmtId="165">
      <sharedItems containsSemiMixedTypes="0" containsString="0" containsNumber="1" minValue="-89.14" maxValue="476.20354304799997"/>
    </cacheField>
    <cacheField name="ORIGIN EPP A D7" numFmtId="165">
      <sharedItems containsSemiMixedTypes="0" containsString="0" containsNumber="1" minValue="-171.06487272300001" maxValue="4043.9560873400001"/>
    </cacheField>
    <cacheField name="ORIGIN EPP A R2" numFmtId="165">
      <sharedItems containsSemiMixedTypes="0" containsString="0" containsNumber="1" containsInteger="1" minValue="0" maxValue="0"/>
    </cacheField>
    <cacheField name="ORIGIN EPP A R5" numFmtId="165">
      <sharedItems containsSemiMixedTypes="0" containsString="0" containsNumber="1" containsInteger="1" minValue="0" maxValue="0"/>
    </cacheField>
    <cacheField name="ORIGIN EPP B D2" numFmtId="165">
      <sharedItems containsSemiMixedTypes="0" containsString="0" containsNumber="1" minValue="-95.882173162000001" maxValue="283.74309242200002"/>
    </cacheField>
    <cacheField name="ORIGIN EPP B D4" numFmtId="165">
      <sharedItems containsSemiMixedTypes="0" containsString="0" containsNumber="1" minValue="-160.459851552" maxValue="4019.8227142699998"/>
    </cacheField>
    <cacheField name="ORIGIN EPP B D5" numFmtId="165">
      <sharedItems containsSemiMixedTypes="0" containsString="0" containsNumber="1" minValue="-89.14" maxValue="476.20354304799997"/>
    </cacheField>
    <cacheField name="ORIGIN EPP B D7" numFmtId="165">
      <sharedItems containsSemiMixedTypes="0" containsString="0" containsNumber="1" minValue="-171.06487272300001" maxValue="4043.9560873400001"/>
    </cacheField>
    <cacheField name="ORIGIN EPP B R2" numFmtId="165">
      <sharedItems containsSemiMixedTypes="0" containsString="0" containsNumber="1" containsInteger="1" minValue="0" maxValue="0"/>
    </cacheField>
    <cacheField name="ORIGIN EPP B R5" numFmtId="165">
      <sharedItems containsSemiMixedTypes="0" containsString="0" containsNumber="1" containsInteger="1" minValue="0" maxValue="0"/>
    </cacheField>
    <cacheField name="EMPTY RETURN" numFmtId="0">
      <sharedItems/>
    </cacheField>
    <cacheField name="DEST EPP A D2" numFmtId="165">
      <sharedItems containsSemiMixedTypes="0" containsString="0" containsNumber="1" minValue="-93.021293709000005" maxValue="154.960114597"/>
    </cacheField>
    <cacheField name="DEST EPP A D4" numFmtId="165">
      <sharedItems containsSemiMixedTypes="0" containsString="0" containsNumber="1" minValue="-140.194910574" maxValue="355.76508942599997"/>
    </cacheField>
    <cacheField name="DEST EPP A D5" numFmtId="165">
      <sharedItems containsSemiMixedTypes="0" containsString="0" containsNumber="1" minValue="-151.79065028400001" maxValue="360.86079423000001"/>
    </cacheField>
    <cacheField name="DEST EPP A D7" numFmtId="165">
      <sharedItems containsSemiMixedTypes="0" containsString="0" containsNumber="1" minValue="-38.575100788" maxValue="468.38489921199999"/>
    </cacheField>
    <cacheField name="DEST EPP A R2" numFmtId="165">
      <sharedItems containsSemiMixedTypes="0" containsString="0" containsNumber="1" containsInteger="1" minValue="0" maxValue="0"/>
    </cacheField>
    <cacheField name="DEST EPP A R5" numFmtId="165">
      <sharedItems containsSemiMixedTypes="0" containsString="0" containsNumber="1" containsInteger="1" minValue="0" maxValue="0"/>
    </cacheField>
    <cacheField name="DEST EPP B D2" numFmtId="165">
      <sharedItems containsSemiMixedTypes="0" containsString="0" containsNumber="1" minValue="-93.021293709000005" maxValue="154.960114597"/>
    </cacheField>
    <cacheField name="DEST EPP B D4" numFmtId="165">
      <sharedItems containsSemiMixedTypes="0" containsString="0" containsNumber="1" minValue="-140.194910574" maxValue="355.76508942599997"/>
    </cacheField>
    <cacheField name="DEST EPP B D5" numFmtId="165">
      <sharedItems containsSemiMixedTypes="0" containsString="0" containsNumber="1" minValue="-151.79065028400001" maxValue="360.86079423000001"/>
    </cacheField>
    <cacheField name="DEST EPP B D7" numFmtId="165">
      <sharedItems containsSemiMixedTypes="0" containsString="0" containsNumber="1" minValue="-38.575100788" maxValue="468.38489921199999"/>
    </cacheField>
    <cacheField name="DEST EPP B R2" numFmtId="165">
      <sharedItems containsSemiMixedTypes="0" containsString="0" containsNumber="1" containsInteger="1" minValue="0" maxValue="0"/>
    </cacheField>
    <cacheField name="DEST EPP B R5" numFmtId="165">
      <sharedItems containsSemiMixedTypes="0" containsString="0" containsNumber="1" containsInteger="1" minValue="0" maxValue="0"/>
    </cacheField>
    <cacheField name="MANUALLY ADDED COST D2" numFmtId="165">
      <sharedItems containsNonDate="0" containsString="0" containsBlank="1"/>
    </cacheField>
    <cacheField name="MANUALLY ADDED COST D4" numFmtId="165">
      <sharedItems containsNonDate="0" containsString="0" containsBlank="1"/>
    </cacheField>
    <cacheField name="MANUALLY ADDED COST D5" numFmtId="165">
      <sharedItems containsNonDate="0" containsString="0" containsBlank="1"/>
    </cacheField>
    <cacheField name="MANUALLY ADDED COST D7" numFmtId="165">
      <sharedItems containsNonDate="0" containsString="0" containsBlank="1"/>
    </cacheField>
    <cacheField name="MANUALLY ADDED COST R2" numFmtId="165">
      <sharedItems containsNonDate="0" containsString="0" containsBlank="1"/>
    </cacheField>
    <cacheField name="MANUALLY ADDED COST R5" numFmtId="165">
      <sharedItems containsNonDate="0" containsString="0" containsBlank="1"/>
    </cacheField>
    <cacheField name="SURCHARGE TOTAL D2" numFmtId="165">
      <sharedItems containsSemiMixedTypes="0" containsString="0" containsNumber="1" minValue="0" maxValue="754.03"/>
    </cacheField>
    <cacheField name="SURCHARGE TOTAL D4" numFmtId="165">
      <sharedItems containsSemiMixedTypes="0" containsString="0" containsNumber="1" minValue="0" maxValue="1050.3800000000001"/>
    </cacheField>
    <cacheField name="SURCHARGE TOTAL D5" numFmtId="165">
      <sharedItems containsSemiMixedTypes="0" containsString="0" containsNumber="1" minValue="0" maxValue="1050.3800000000001"/>
    </cacheField>
    <cacheField name="SURCHARGE TOTAL D7" numFmtId="165">
      <sharedItems containsSemiMixedTypes="0" containsString="0" containsNumber="1" containsInteger="1" minValue="0" maxValue="0"/>
    </cacheField>
    <cacheField name="SURCHARGE TOTAL R2" numFmtId="165">
      <sharedItems containsSemiMixedTypes="0" containsString="0" containsNumber="1" containsInteger="1" minValue="0" maxValue="0"/>
    </cacheField>
    <cacheField name="SURCHARGE TOTAL R5" numFmtId="165">
      <sharedItems containsSemiMixedTypes="0" containsString="0" containsNumber="1" containsInteger="1" minValue="0" maxValue="0"/>
    </cacheField>
    <cacheField name="MANUALLY ADDED SURCHARGE1 D2" numFmtId="165">
      <sharedItems containsNonDate="0" containsString="0" containsBlank="1"/>
    </cacheField>
    <cacheField name="MANUALLY ADDED SURCHARGE1 D4" numFmtId="165">
      <sharedItems containsNonDate="0" containsString="0" containsBlank="1"/>
    </cacheField>
    <cacheField name="MANUALLY ADDED SURCHARGE1 D5" numFmtId="165">
      <sharedItems containsNonDate="0" containsString="0" containsBlank="1"/>
    </cacheField>
    <cacheField name="MANUALLY ADDED SURCHARGE1 D7" numFmtId="165">
      <sharedItems containsNonDate="0" containsString="0" containsBlank="1"/>
    </cacheField>
    <cacheField name="MANUALLY ADDED SURCHARGE1 R2" numFmtId="165">
      <sharedItems containsNonDate="0" containsString="0" containsBlank="1"/>
    </cacheField>
    <cacheField name="MANUALLY ADDED SURCHARGE1 R5" numFmtId="165">
      <sharedItems containsNonDate="0" containsString="0" containsBlank="1"/>
    </cacheField>
    <cacheField name="MANUALLY ADDED SURCHARGE2 D2" numFmtId="165">
      <sharedItems containsNonDate="0" containsString="0" containsBlank="1"/>
    </cacheField>
    <cacheField name="MANUALLY ADDED SURCHARGE2 D4" numFmtId="165">
      <sharedItems containsNonDate="0" containsString="0" containsBlank="1"/>
    </cacheField>
    <cacheField name="MANUALLY ADDED SURCHARGE2 D5" numFmtId="165">
      <sharedItems containsNonDate="0" containsString="0" containsBlank="1"/>
    </cacheField>
    <cacheField name="MANUALLY ADDED SURCHARGE2 D7" numFmtId="165">
      <sharedItems containsNonDate="0" containsString="0" containsBlank="1"/>
    </cacheField>
    <cacheField name="MANUALLY ADDED SURCHARGE2 R2" numFmtId="165">
      <sharedItems containsNonDate="0" containsString="0" containsBlank="1"/>
    </cacheField>
    <cacheField name="MANUALLY ADDED SURCHARGE2 R5" numFmtId="165">
      <sharedItems containsNonDate="0" containsString="0" containsBlank="1"/>
    </cacheField>
    <cacheField name="1ST SERVICE LANE" numFmtId="0">
      <sharedItems/>
    </cacheField>
    <cacheField name="LAST SERVICELANE" numFmtId="0">
      <sharedItems/>
    </cacheField>
    <cacheField name="ORIGIN MODE" numFmtId="0">
      <sharedItems containsBlank="1"/>
    </cacheField>
    <cacheField name="DEST MODE" numFmtId="0">
      <sharedItems containsBlank="1"/>
    </cacheField>
    <cacheField name="ROUTE INDICATION" numFmtId="0">
      <sharedItems/>
    </cacheField>
    <cacheField name="COMMERCIAL TRANSIT TIME" numFmtId="0">
      <sharedItems/>
    </cacheField>
    <cacheField name="ONBOARDTIME" numFmtId="0">
      <sharedItems containsSemiMixedTypes="0" containsString="0" containsNumber="1" containsInteger="1" minValue="512" maxValue="1861"/>
    </cacheField>
    <cacheField name="EFFECTIVE DATE" numFmtId="0">
      <sharedItems/>
    </cacheField>
    <cacheField name="WARNING" numFmtId="0">
      <sharedItems containsBlank="1"/>
    </cacheField>
    <cacheField name="ORIGIN YARD D2" numFmtId="165">
      <sharedItems containsSemiMixedTypes="0" containsString="0" containsNumber="1" minValue="0" maxValue="257.60924999999997"/>
    </cacheField>
    <cacheField name="ORIGIN YARD D4" numFmtId="165">
      <sharedItems containsSemiMixedTypes="0" containsString="0" containsNumber="1" minValue="0" maxValue="387.54253"/>
    </cacheField>
    <cacheField name="ORIGIN YARD D5" numFmtId="165">
      <sharedItems containsSemiMixedTypes="0" containsString="0" containsNumber="1" minValue="0" maxValue="387.54253"/>
    </cacheField>
    <cacheField name="ORIGIN YARD D7" numFmtId="165">
      <sharedItems containsSemiMixedTypes="0" containsString="0" containsNumber="1" minValue="0" maxValue="444.13717000000003"/>
    </cacheField>
    <cacheField name="ORIGIN YARD R2" numFmtId="165">
      <sharedItems containsSemiMixedTypes="0" containsString="0" containsNumber="1" containsInteger="1" minValue="0" maxValue="0"/>
    </cacheField>
    <cacheField name="ORIGIN YARD R5" numFmtId="165">
      <sharedItems containsSemiMixedTypes="0" containsString="0" containsNumber="1" containsInteger="1" minValue="0" maxValue="0"/>
    </cacheField>
    <cacheField name="ORIGIN INTERMODAL D2" numFmtId="165">
      <sharedItems containsSemiMixedTypes="0" containsString="0" containsNumber="1" minValue="0" maxValue="632.76787000000002"/>
    </cacheField>
    <cacheField name="ORIGIN INTERMODAL D4" numFmtId="165">
      <sharedItems containsSemiMixedTypes="0" containsString="0" containsNumber="1" minValue="0" maxValue="870.51302999999996"/>
    </cacheField>
    <cacheField name="ORIGIN INTERMODAL D5" numFmtId="165">
      <sharedItems containsSemiMixedTypes="0" containsString="0" containsNumber="1" minValue="0" maxValue="870.51302999999996"/>
    </cacheField>
    <cacheField name="ORIGIN INTERMODAL D7" numFmtId="165">
      <sharedItems containsSemiMixedTypes="0" containsString="0" containsNumber="1" minValue="0" maxValue="534"/>
    </cacheField>
    <cacheField name="ORIGIN INTERMODAL R2" numFmtId="165">
      <sharedItems containsSemiMixedTypes="0" containsString="0" containsNumber="1" containsInteger="1" minValue="0" maxValue="0"/>
    </cacheField>
    <cacheField name="ORIGIN INTERMODAL R5" numFmtId="165">
      <sharedItems containsSemiMixedTypes="0" containsString="0" containsNumber="1" containsInteger="1" minValue="0" maxValue="0"/>
    </cacheField>
    <cacheField name="DEST YARD D2" numFmtId="165">
      <sharedItems containsSemiMixedTypes="0" containsString="0" containsNumber="1" minValue="25.4" maxValue="219.13"/>
    </cacheField>
    <cacheField name="DEST YARD D4" numFmtId="165">
      <sharedItems containsSemiMixedTypes="0" containsString="0" containsNumber="1" minValue="25.4" maxValue="327.64400000000001"/>
    </cacheField>
    <cacheField name="DEST YARD D5" numFmtId="165">
      <sharedItems containsSemiMixedTypes="0" containsString="0" containsNumber="1" minValue="25.4" maxValue="327.64400000000001"/>
    </cacheField>
    <cacheField name="DEST YARD D7" numFmtId="165">
      <sharedItems containsSemiMixedTypes="0" containsString="0" containsNumber="1" minValue="1" maxValue="264.14400000000001"/>
    </cacheField>
    <cacheField name="DEST YARD R2" numFmtId="165">
      <sharedItems containsSemiMixedTypes="0" containsString="0" containsNumber="1" containsInteger="1" minValue="0" maxValue="0"/>
    </cacheField>
    <cacheField name="DEST YARD R5" numFmtId="165">
      <sharedItems containsSemiMixedTypes="0" containsString="0" containsNumber="1" containsInteger="1" minValue="0" maxValue="0"/>
    </cacheField>
    <cacheField name="DEST INTERMODAL D2" numFmtId="165">
      <sharedItems containsSemiMixedTypes="0" containsString="0" containsNumber="1" containsInteger="1" minValue="0" maxValue="1"/>
    </cacheField>
    <cacheField name="DEST INTERMODAL D4" numFmtId="165">
      <sharedItems containsSemiMixedTypes="0" containsString="0" containsNumber="1" containsInteger="1" minValue="0" maxValue="1"/>
    </cacheField>
    <cacheField name="DEST INTERMODAL D5" numFmtId="165">
      <sharedItems containsSemiMixedTypes="0" containsString="0" containsNumber="1" containsInteger="1" minValue="0" maxValue="1"/>
    </cacheField>
    <cacheField name="DEST INTERMODAL D7" numFmtId="165">
      <sharedItems containsSemiMixedTypes="0" containsString="0" containsNumber="1" containsInteger="1" minValue="0" maxValue="1"/>
    </cacheField>
    <cacheField name="DEST INTERMODAL R2" numFmtId="165">
      <sharedItems containsSemiMixedTypes="0" containsString="0" containsNumber="1" containsInteger="1" minValue="0" maxValue="0"/>
    </cacheField>
    <cacheField name="DEST INTERMODAL R5" numFmtId="165">
      <sharedItems containsSemiMixedTypes="0" containsString="0" containsNumber="1" containsInteger="1" minValue="0" maxValue="0"/>
    </cacheField>
    <cacheField name="T/S D2" numFmtId="165">
      <sharedItems containsSemiMixedTypes="0" containsString="0" containsNumber="1" minValue="0" maxValue="641.87900000000002"/>
    </cacheField>
    <cacheField name="T/S D4" numFmtId="165">
      <sharedItems containsSemiMixedTypes="0" containsString="0" containsNumber="1" minValue="0" maxValue="704.96094675999996"/>
    </cacheField>
    <cacheField name="T/S D5" numFmtId="165">
      <sharedItems containsSemiMixedTypes="0" containsString="0" containsNumber="1" minValue="0" maxValue="705.65094676000001"/>
    </cacheField>
    <cacheField name="T/S D7" numFmtId="165">
      <sharedItems containsSemiMixedTypes="0" containsString="0" containsNumber="1" minValue="0" maxValue="661.24431656000002"/>
    </cacheField>
    <cacheField name="T/S R2" numFmtId="165">
      <sharedItems containsSemiMixedTypes="0" containsString="0" containsNumber="1" containsInteger="1" minValue="0" maxValue="0"/>
    </cacheField>
    <cacheField name="T/S R5" numFmtId="165">
      <sharedItems containsSemiMixedTypes="0" containsString="0" containsNumber="1" containsInteger="1" minValue="0" maxValue="0"/>
    </cacheField>
    <cacheField name="FEEDER ORIGIN D2" numFmtId="165">
      <sharedItems containsSemiMixedTypes="0" containsString="0" containsNumber="1" minValue="0" maxValue="190"/>
    </cacheField>
    <cacheField name="FEEDER ORIGIN D4" numFmtId="165">
      <sharedItems containsSemiMixedTypes="0" containsString="0" containsNumber="1" minValue="0" maxValue="340"/>
    </cacheField>
    <cacheField name="FEEDER ORIGIN D5" numFmtId="165">
      <sharedItems containsSemiMixedTypes="0" containsString="0" containsNumber="1" minValue="0" maxValue="380"/>
    </cacheField>
    <cacheField name="FEEDER ORIGIN D7" numFmtId="165">
      <sharedItems containsSemiMixedTypes="0" containsString="0" containsNumber="1" minValue="0" maxValue="365.76177999999999"/>
    </cacheField>
    <cacheField name="FEEDER ORIGIN R2" numFmtId="165">
      <sharedItems containsSemiMixedTypes="0" containsString="0" containsNumber="1" containsInteger="1" minValue="0" maxValue="0"/>
    </cacheField>
    <cacheField name="FEEDER ORIGIN R5" numFmtId="165">
      <sharedItems containsSemiMixedTypes="0" containsString="0" containsNumber="1" containsInteger="1" minValue="0" maxValue="0"/>
    </cacheField>
    <cacheField name="FEEDER DEST D2" numFmtId="165">
      <sharedItems containsSemiMixedTypes="0" containsString="0" containsNumber="1" containsInteger="1" minValue="0" maxValue="0"/>
    </cacheField>
    <cacheField name="FEEDER DEST D4" numFmtId="165">
      <sharedItems containsSemiMixedTypes="0" containsString="0" containsNumber="1" containsInteger="1" minValue="0" maxValue="0"/>
    </cacheField>
    <cacheField name="FEEDER DEST D5" numFmtId="165">
      <sharedItems containsSemiMixedTypes="0" containsString="0" containsNumber="1" containsInteger="1" minValue="0" maxValue="0"/>
    </cacheField>
    <cacheField name="FEEDER DEST D7" numFmtId="165">
      <sharedItems containsSemiMixedTypes="0" containsString="0" containsNumber="1" containsInteger="1" minValue="0" maxValue="0"/>
    </cacheField>
    <cacheField name="FEEDER DEST R2" numFmtId="165">
      <sharedItems containsSemiMixedTypes="0" containsString="0" containsNumber="1" containsInteger="1" minValue="0" maxValue="0"/>
    </cacheField>
    <cacheField name="FEEDER DEST R5" numFmtId="165">
      <sharedItems containsSemiMixedTypes="0" containsString="0" containsNumber="1" containsInteger="1" minValue="0" maxValue="0"/>
    </cacheField>
    <cacheField name="EQP LEASE MR D2" numFmtId="165">
      <sharedItems containsSemiMixedTypes="0" containsString="0" containsNumber="1" minValue="0" maxValue="84"/>
    </cacheField>
    <cacheField name="EQP LEASE MR D4" numFmtId="165">
      <sharedItems containsSemiMixedTypes="0" containsString="0" containsNumber="1" minValue="0" maxValue="124.8"/>
    </cacheField>
    <cacheField name="EQP LEASE MR D5" numFmtId="165">
      <sharedItems containsSemiMixedTypes="0" containsString="0" containsNumber="1" minValue="0" maxValue="118.2"/>
    </cacheField>
    <cacheField name="EQP LEASE MR D7" numFmtId="165">
      <sharedItems containsSemiMixedTypes="0" containsString="0" containsNumber="1" minValue="0" maxValue="193.8"/>
    </cacheField>
    <cacheField name="EQP LEASE MR R2" numFmtId="165">
      <sharedItems containsSemiMixedTypes="0" containsString="0" containsNumber="1" containsInteger="1" minValue="0" maxValue="0"/>
    </cacheField>
    <cacheField name="EQP LEASE MR R5" numFmtId="165">
      <sharedItems containsSemiMixedTypes="0" containsString="0" containsNumber="1" containsInteger="1" minValue="0" maxValue="0"/>
    </cacheField>
    <cacheField name="OTHER N/A D2" numFmtId="165">
      <sharedItems containsSemiMixedTypes="0" containsString="0" containsNumber="1" minValue="0" maxValue="41.81"/>
    </cacheField>
    <cacheField name="OTHER N/A D4" numFmtId="165">
      <sharedItems containsSemiMixedTypes="0" containsString="0" containsNumber="1" minValue="0" maxValue="41.81"/>
    </cacheField>
    <cacheField name="OTHER N/A D5" numFmtId="165">
      <sharedItems containsSemiMixedTypes="0" containsString="0" containsNumber="1" minValue="0" maxValue="41.81"/>
    </cacheField>
    <cacheField name="OTHER N/A D7" numFmtId="165">
      <sharedItems containsSemiMixedTypes="0" containsString="0" containsNumber="1" minValue="0" maxValue="41.81"/>
    </cacheField>
    <cacheField name="OTHER N/A R2" numFmtId="165">
      <sharedItems containsSemiMixedTypes="0" containsString="0" containsNumber="1" containsInteger="1" minValue="0" maxValue="0"/>
    </cacheField>
    <cacheField name="OTHER N/A R5" numFmtId="165">
      <sharedItems containsSemiMixedTypes="0" containsString="0" containsNumber="1" containsInteger="1" minValue="0" maxValue="0"/>
    </cacheField>
    <cacheField name="ORIGIN YARD D2 ERR" numFmtId="0">
      <sharedItems containsBlank="1"/>
    </cacheField>
    <cacheField name="ORIGIN YARD D4 ERR" numFmtId="0">
      <sharedItems containsBlank="1"/>
    </cacheField>
    <cacheField name="ORIGIN YARD D5 ERR" numFmtId="0">
      <sharedItems containsBlank="1"/>
    </cacheField>
    <cacheField name="ORIGIN YARD D7 ERR" numFmtId="0">
      <sharedItems containsBlank="1"/>
    </cacheField>
    <cacheField name="ORIGIN YARD R2 ERR" numFmtId="0">
      <sharedItems containsNonDate="0" containsString="0" containsBlank="1"/>
    </cacheField>
    <cacheField name="ORIGIN YARD R5 ERR" numFmtId="0">
      <sharedItems containsNonDate="0" containsString="0" containsBlank="1"/>
    </cacheField>
    <cacheField name="ORIGIN INTERMODAL D2 ERR" numFmtId="0">
      <sharedItems containsBlank="1"/>
    </cacheField>
    <cacheField name="ORIGIN INTERMODAL D4 ERR" numFmtId="0">
      <sharedItems containsBlank="1"/>
    </cacheField>
    <cacheField name="ORIGIN INTERMODAL D5 ERR" numFmtId="0">
      <sharedItems containsBlank="1"/>
    </cacheField>
    <cacheField name="ORIGIN INTERMODAL D7 ERR" numFmtId="0">
      <sharedItems containsBlank="1"/>
    </cacheField>
    <cacheField name="ORIGIN INTERMODAL R2 ERR" numFmtId="0">
      <sharedItems containsNonDate="0" containsString="0" containsBlank="1"/>
    </cacheField>
    <cacheField name="ORIGIN INTERMODAL R5 ERR" numFmtId="0">
      <sharedItems containsNonDate="0" containsString="0" containsBlank="1"/>
    </cacheField>
    <cacheField name="ORIGIN EPP A D2 ERR" numFmtId="0">
      <sharedItems containsNonDate="0" containsString="0" containsBlank="1"/>
    </cacheField>
    <cacheField name="ORIGIN EPP A D4 ERR" numFmtId="0">
      <sharedItems containsNonDate="0" containsString="0" containsBlank="1"/>
    </cacheField>
    <cacheField name="ORIGIN EPP A D5 ERR" numFmtId="0">
      <sharedItems containsNonDate="0" containsString="0" containsBlank="1"/>
    </cacheField>
    <cacheField name="ORIGIN EPP A D7 ERR" numFmtId="0">
      <sharedItems containsNonDate="0" containsString="0" containsBlank="1"/>
    </cacheField>
    <cacheField name="ORIGIN EPP A R2 ERR" numFmtId="0">
      <sharedItems containsNonDate="0" containsString="0" containsBlank="1"/>
    </cacheField>
    <cacheField name="ORIGIN EPP A R5 ERR" numFmtId="0">
      <sharedItems containsNonDate="0" containsString="0" containsBlank="1"/>
    </cacheField>
    <cacheField name="ORIGIN EPP B D2 ERR" numFmtId="0">
      <sharedItems containsBlank="1"/>
    </cacheField>
    <cacheField name="ORIGIN EPP B D4 ERR" numFmtId="0">
      <sharedItems containsBlank="1"/>
    </cacheField>
    <cacheField name="ORIGIN EPP B D5 ERR" numFmtId="0">
      <sharedItems containsBlank="1"/>
    </cacheField>
    <cacheField name="ORIGIN EPP B D7 ERR" numFmtId="0">
      <sharedItems containsBlank="1"/>
    </cacheField>
    <cacheField name="ORIGIN EPP B R2 ERR" numFmtId="0">
      <sharedItems containsNonDate="0" containsString="0" containsBlank="1"/>
    </cacheField>
    <cacheField name="ORIGIN EPP B R5 ERR" numFmtId="0">
      <sharedItems containsNonDate="0" containsString="0" containsBlank="1"/>
    </cacheField>
    <cacheField name="DEST YARD D2 ERR" numFmtId="0">
      <sharedItems containsBlank="1"/>
    </cacheField>
    <cacheField name="DEST YARD D4 ERR" numFmtId="0">
      <sharedItems containsBlank="1"/>
    </cacheField>
    <cacheField name="DEST YARD D5 ERR" numFmtId="0">
      <sharedItems containsBlank="1"/>
    </cacheField>
    <cacheField name="DEST YARD D7 ERR" numFmtId="0">
      <sharedItems containsBlank="1"/>
    </cacheField>
    <cacheField name="DEST YARD R2 ERR" numFmtId="0">
      <sharedItems containsNonDate="0" containsString="0" containsBlank="1"/>
    </cacheField>
    <cacheField name="DEST YARD R5 ERR" numFmtId="0">
      <sharedItems containsNonDate="0" containsString="0" containsBlank="1"/>
    </cacheField>
    <cacheField name="DEST INTERMODAL D2 ERR" numFmtId="0">
      <sharedItems containsBlank="1"/>
    </cacheField>
    <cacheField name="DEST INTERMODAL D4 ERR" numFmtId="0">
      <sharedItems containsBlank="1"/>
    </cacheField>
    <cacheField name="DEST INTERMODAL D5 ERR" numFmtId="0">
      <sharedItems containsBlank="1"/>
    </cacheField>
    <cacheField name="DEST INTERMODAL D7 ERR" numFmtId="0">
      <sharedItems containsBlank="1"/>
    </cacheField>
    <cacheField name="DEST INTERMODAL R2 ERR" numFmtId="0">
      <sharedItems containsNonDate="0" containsString="0" containsBlank="1"/>
    </cacheField>
    <cacheField name="DEST INTERMODAL R5 ERR" numFmtId="0">
      <sharedItems containsNonDate="0" containsString="0" containsBlank="1"/>
    </cacheField>
    <cacheField name="T/S D2 ERR" numFmtId="0">
      <sharedItems containsNonDate="0" containsString="0" containsBlank="1"/>
    </cacheField>
    <cacheField name="T/S D4 ERR" numFmtId="0">
      <sharedItems containsNonDate="0" containsString="0" containsBlank="1"/>
    </cacheField>
    <cacheField name="T/S D4 ERR2" numFmtId="0">
      <sharedItems containsNonDate="0" containsString="0" containsBlank="1"/>
    </cacheField>
    <cacheField name="T/S D7 ERR" numFmtId="0">
      <sharedItems containsNonDate="0" containsString="0" containsBlank="1"/>
    </cacheField>
    <cacheField name="T/S R2 ERR" numFmtId="0">
      <sharedItems containsNonDate="0" containsString="0" containsBlank="1"/>
    </cacheField>
    <cacheField name="T/S R5 ERR" numFmtId="0">
      <sharedItems containsNonDate="0" containsString="0" containsBlank="1"/>
    </cacheField>
    <cacheField name="FEEDER ORIGIN D2 ERR" numFmtId="0">
      <sharedItems containsNonDate="0" containsString="0" containsBlank="1"/>
    </cacheField>
    <cacheField name="FEEDER ORIGIN D4 ERR" numFmtId="0">
      <sharedItems containsNonDate="0" containsString="0" containsBlank="1"/>
    </cacheField>
    <cacheField name="FEEDER ORIGIN D5 ERR" numFmtId="0">
      <sharedItems containsNonDate="0" containsString="0" containsBlank="1"/>
    </cacheField>
    <cacheField name="FEEDER ORIGIN D7 ERR" numFmtId="0">
      <sharedItems containsNonDate="0" containsString="0" containsBlank="1"/>
    </cacheField>
    <cacheField name="FEEDER ORIGIN R2 ERR" numFmtId="0">
      <sharedItems containsNonDate="0" containsString="0" containsBlank="1"/>
    </cacheField>
    <cacheField name="FEEDER ORIGIN R5 ERR" numFmtId="0">
      <sharedItems containsNonDate="0" containsString="0" containsBlank="1"/>
    </cacheField>
    <cacheField name="FEEDER DEST D2 ERR" numFmtId="0">
      <sharedItems containsBlank="1"/>
    </cacheField>
    <cacheField name="FEEDER DEST D4 ERR" numFmtId="0">
      <sharedItems containsBlank="1"/>
    </cacheField>
    <cacheField name="FEEDER DEST D5 ERR" numFmtId="0">
      <sharedItems containsBlank="1"/>
    </cacheField>
    <cacheField name="FEEDER DEST D7 ERR" numFmtId="0">
      <sharedItems containsBlank="1"/>
    </cacheField>
    <cacheField name="FEEDER DEST R2 ERR" numFmtId="0">
      <sharedItems containsNonDate="0" containsString="0" containsBlank="1"/>
    </cacheField>
    <cacheField name="FEEDER DEST R5 ERR" numFmtId="0">
      <sharedItems containsNonDate="0" containsString="0" containsBlank="1"/>
    </cacheField>
    <cacheField name="EQP LEASE MR D2 ERR" numFmtId="0">
      <sharedItems containsNonDate="0" containsString="0" containsBlank="1"/>
    </cacheField>
    <cacheField name="EQP LEASE MR D4 ERR" numFmtId="0">
      <sharedItems containsNonDate="0" containsString="0" containsBlank="1"/>
    </cacheField>
    <cacheField name="EQP LEASE MR D5 ERR" numFmtId="0">
      <sharedItems containsNonDate="0" containsString="0" containsBlank="1"/>
    </cacheField>
    <cacheField name="EQP LEASE MR D7 ERR" numFmtId="0">
      <sharedItems containsNonDate="0" containsString="0" containsBlank="1"/>
    </cacheField>
    <cacheField name="EQP LEASE MR R2 ERR" numFmtId="0">
      <sharedItems containsNonDate="0" containsString="0" containsBlank="1"/>
    </cacheField>
    <cacheField name="EQP LEASE MR R5 ERR" numFmtId="0">
      <sharedItems containsNonDate="0" containsString="0" containsBlank="1"/>
    </cacheField>
    <cacheField name="DEST EPP A D2 ERR" numFmtId="0">
      <sharedItems containsNonDate="0" containsString="0" containsBlank="1"/>
    </cacheField>
    <cacheField name="DEST EPP A D4 ERR" numFmtId="0">
      <sharedItems containsNonDate="0" containsString="0" containsBlank="1"/>
    </cacheField>
    <cacheField name="DEST EPP A D5 ERR" numFmtId="0">
      <sharedItems containsNonDate="0" containsString="0" containsBlank="1"/>
    </cacheField>
    <cacheField name="DEST EPP A D7 ERR" numFmtId="0">
      <sharedItems containsNonDate="0" containsString="0" containsBlank="1"/>
    </cacheField>
    <cacheField name="DEST EPP A R2 ERR" numFmtId="0">
      <sharedItems containsNonDate="0" containsString="0" containsBlank="1"/>
    </cacheField>
    <cacheField name="DEST EPP A R5 ERR" numFmtId="0">
      <sharedItems containsNonDate="0" containsString="0" containsBlank="1"/>
    </cacheField>
    <cacheField name="DEST EPP B D2 ERR" numFmtId="0">
      <sharedItems containsNonDate="0" containsString="0" containsBlank="1"/>
    </cacheField>
    <cacheField name="DEST EPP B D4 ERR" numFmtId="0">
      <sharedItems containsNonDate="0" containsString="0" containsBlank="1"/>
    </cacheField>
    <cacheField name="DEST EPP B D5 ERR" numFmtId="0">
      <sharedItems containsNonDate="0" containsString="0" containsBlank="1"/>
    </cacheField>
    <cacheField name="DEST EPP B D7 ERR" numFmtId="0">
      <sharedItems containsNonDate="0" containsString="0" containsBlank="1"/>
    </cacheField>
    <cacheField name="DEST EPP B R2 ERR" numFmtId="0">
      <sharedItems containsNonDate="0" containsString="0" containsBlank="1"/>
    </cacheField>
    <cacheField name="DEST EPP B R5 ERR" numFmtId="0">
      <sharedItems containsNonDate="0" containsString="0" containsBlank="1"/>
    </cacheField>
    <cacheField name="OTHER N/A D2 ERR" numFmtId="0">
      <sharedItems containsNonDate="0" containsString="0" containsBlank="1"/>
    </cacheField>
    <cacheField name="OTHER N/A D4 ERR" numFmtId="0">
      <sharedItems containsNonDate="0" containsString="0" containsBlank="1"/>
    </cacheField>
    <cacheField name="OTHER N/A D5 ERR" numFmtId="0">
      <sharedItems containsNonDate="0" containsString="0" containsBlank="1"/>
    </cacheField>
    <cacheField name="OTHER N/A D7 ERR" numFmtId="0">
      <sharedItems containsNonDate="0" containsString="0" containsBlank="1"/>
    </cacheField>
    <cacheField name="OTHER N/A R2 ERR" numFmtId="0">
      <sharedItems containsNonDate="0" containsString="0" containsBlank="1"/>
    </cacheField>
    <cacheField name="OTHER N/A R5 ERR" numFmtId="0">
      <sharedItems containsNonDate="0" containsString="0" containsBlank="1"/>
    </cacheField>
    <cacheField name="PTCL NO" numFmtId="0">
      <sharedItems/>
    </cacheField>
    <cacheField name="SENDER ID" numFmtId="0">
      <sharedItems/>
    </cacheField>
    <cacheField name="BAF D2" numFmtId="0">
      <sharedItems containsString="0" containsBlank="1" containsNumber="1" containsInteger="1" minValue="122" maxValue="122"/>
    </cacheField>
    <cacheField name="BAF D4" numFmtId="0">
      <sharedItems containsString="0" containsBlank="1" containsNumber="1" containsInteger="1" minValue="244" maxValue="244"/>
    </cacheField>
    <cacheField name="BAF D5" numFmtId="0">
      <sharedItems containsString="0" containsBlank="1" containsNumber="1" containsInteger="1" minValue="244" maxValue="244"/>
    </cacheField>
    <cacheField name="BKF D2" numFmtId="0">
      <sharedItems containsString="0" containsBlank="1" containsNumber="1" minValue="29.26094176341066" maxValue="29.26094176341066" count="2">
        <m/>
        <n v="29.26094176341066"/>
      </sharedItems>
    </cacheField>
    <cacheField name="BKF D4" numFmtId="0">
      <sharedItems containsString="0" containsBlank="1" containsNumber="1" minValue="43.891412645115977" maxValue="43.891412645115977" count="2">
        <m/>
        <n v="43.891412645115977"/>
      </sharedItems>
    </cacheField>
    <cacheField name="BKF D5" numFmtId="0">
      <sharedItems containsString="0" containsBlank="1" containsNumber="1" minValue="43.891412645115977" maxValue="43.891412645115977" count="2">
        <m/>
        <n v="43.891412645115977"/>
      </sharedItems>
    </cacheField>
    <cacheField name="BRS D2" numFmtId="0">
      <sharedItems containsString="0" containsBlank="1" containsNumber="1" containsInteger="1" minValue="60" maxValue="60"/>
    </cacheField>
    <cacheField name="BRS D4" numFmtId="0">
      <sharedItems containsString="0" containsBlank="1" containsNumber="1" containsInteger="1" minValue="120" maxValue="120"/>
    </cacheField>
    <cacheField name="BRS D5" numFmtId="0">
      <sharedItems containsString="0" containsBlank="1" containsNumber="1" containsInteger="1" minValue="120" maxValue="120"/>
    </cacheField>
    <cacheField name="CSS D2" numFmtId="0">
      <sharedItems containsString="0" containsBlank="1" containsNumber="1" containsInteger="1" minValue="15" maxValue="15" count="2">
        <n v="15"/>
        <m/>
      </sharedItems>
    </cacheField>
    <cacheField name="CSS D4" numFmtId="0">
      <sharedItems containsString="0" containsBlank="1" containsNumber="1" containsInteger="1" minValue="15" maxValue="15" count="2">
        <n v="15"/>
        <m/>
      </sharedItems>
    </cacheField>
    <cacheField name="CSS D5" numFmtId="0">
      <sharedItems containsString="0" containsBlank="1" containsNumber="1" containsInteger="1" minValue="15" maxValue="15" count="2">
        <n v="15"/>
        <m/>
      </sharedItems>
    </cacheField>
    <cacheField name="DOC D2" numFmtId="0">
      <sharedItems containsString="0" containsBlank="1" containsNumber="1" minValue="6.8979999996744148" maxValue="117.07178951036769" count="14">
        <n v="36.260950625784233"/>
        <m/>
        <n v="65.837118967673973"/>
        <n v="30.100000004515"/>
        <n v="67.5252136599685"/>
        <n v="6.8979999996744148"/>
        <n v="58.689827846432188"/>
        <n v="49.061574729364089"/>
        <n v="35.569199900637443"/>
        <n v="36.057800654449082"/>
        <n v="95.08345401617882"/>
        <n v="50"/>
        <n v="43.672229836867423"/>
        <n v="117.07178951036769"/>
      </sharedItems>
    </cacheField>
    <cacheField name="DOC D4" numFmtId="0">
      <sharedItems containsString="0" containsBlank="1" containsNumber="1" minValue="6.8979999996744148" maxValue="117.07178951036769" count="14">
        <n v="36.260950625784233"/>
        <m/>
        <n v="65.837118967673973"/>
        <n v="30.100000004515"/>
        <n v="67.5252136599685"/>
        <n v="6.8979999996744148"/>
        <n v="58.689827846432188"/>
        <n v="49.061574729364089"/>
        <n v="35.569199900637443"/>
        <n v="36.057800654449082"/>
        <n v="95.08345401617882"/>
        <n v="50"/>
        <n v="43.672229836867423"/>
        <n v="117.07178951036769"/>
      </sharedItems>
    </cacheField>
    <cacheField name="DOC D5" numFmtId="0">
      <sharedItems containsString="0" containsBlank="1" containsNumber="1" minValue="6.8979999996744148" maxValue="117.07178951036769" count="14">
        <n v="36.260950625784233"/>
        <m/>
        <n v="65.837118967673973"/>
        <n v="30.100000004515"/>
        <n v="67.5252136599685"/>
        <n v="6.8979999996744148"/>
        <n v="58.689827846432188"/>
        <n v="49.061574729364089"/>
        <n v="35.569199900637443"/>
        <n v="36.057800654449082"/>
        <n v="95.08345401617882"/>
        <n v="50"/>
        <n v="43.672229836867423"/>
        <n v="117.07178951036769"/>
      </sharedItems>
    </cacheField>
    <cacheField name="PSE D2" numFmtId="0">
      <sharedItems containsString="0" containsBlank="1" containsNumber="1" minValue="1.4630470881705331" maxValue="1.4630470881705331"/>
    </cacheField>
    <cacheField name="PSE D4" numFmtId="0">
      <sharedItems containsString="0" containsBlank="1" containsNumber="1" minValue="2.194570632255799" maxValue="2.194570632255799"/>
    </cacheField>
    <cacheField name="PSE D5" numFmtId="0">
      <sharedItems containsString="0" containsBlank="1" containsNumber="1" minValue="2.194570632255799" maxValue="2.194570632255799"/>
    </cacheField>
    <cacheField name="PSS D2" numFmtId="0">
      <sharedItems containsString="0" containsBlank="1" containsNumber="1" containsInteger="1" minValue="60" maxValue="60"/>
    </cacheField>
    <cacheField name="PSS D4" numFmtId="0">
      <sharedItems containsString="0" containsBlank="1" containsNumber="1" containsInteger="1" minValue="120" maxValue="120"/>
    </cacheField>
    <cacheField name="PSS D5" numFmtId="0">
      <sharedItems containsString="0" containsBlank="1" containsNumber="1" containsInteger="1" minValue="120" maxValue="120"/>
    </cacheField>
    <cacheField name="SLF D2" numFmtId="0">
      <sharedItems containsString="0" containsBlank="1" containsNumber="1" minValue="1.977060243222345" maxValue="10.97116777109756" count="16">
        <n v="5"/>
        <n v="6"/>
        <n v="2.9260941763410662"/>
        <n v="4.3891412645115979"/>
        <n v="6.4500000009675"/>
        <n v="8.2813941281093442"/>
        <n v="6.8979999996744148"/>
        <n v="7.1732011812306018"/>
        <n v="4.4155417256427683"/>
        <n v="7.1138399801274881"/>
        <m/>
        <n v="6.0096334424081803"/>
        <n v="10.97116777109756"/>
        <n v="1.977060243222345"/>
        <n v="4.696927908544426"/>
        <n v="4.0838996340825924"/>
      </sharedItems>
    </cacheField>
    <cacheField name="SLF D4" numFmtId="0">
      <sharedItems containsString="0" containsBlank="1" containsNumber="1" minValue="1.977060243222345" maxValue="10.97116777109756" count="16">
        <n v="5"/>
        <n v="6"/>
        <n v="2.9260941763410662"/>
        <n v="4.3891412645115979"/>
        <n v="6.4500000009675"/>
        <n v="8.2813941281093442"/>
        <n v="6.8979999996744148"/>
        <n v="7.1732011812306018"/>
        <n v="4.4155417256427683"/>
        <n v="7.1138399801274881"/>
        <m/>
        <n v="6.0096334424081803"/>
        <n v="10.97116777109756"/>
        <n v="1.977060243222345"/>
        <n v="4.696927908544426"/>
        <n v="4.0838996340825924"/>
      </sharedItems>
    </cacheField>
    <cacheField name="SLF D5" numFmtId="0">
      <sharedItems containsString="0" containsBlank="1" containsNumber="1" minValue="1.977060243222345" maxValue="10.97116777109756"/>
    </cacheField>
    <cacheField name="THD D2" numFmtId="0">
      <sharedItems containsString="0" containsBlank="1" containsNumber="1" containsInteger="1" minValue="85" maxValue="150" count="5">
        <n v="150"/>
        <m/>
        <n v="105"/>
        <n v="85"/>
        <n v="110"/>
      </sharedItems>
    </cacheField>
    <cacheField name="THD D4" numFmtId="0">
      <sharedItems containsString="0" containsBlank="1" containsNumber="1" containsInteger="1" minValue="85" maxValue="150" count="6">
        <n v="150"/>
        <m/>
        <n v="105"/>
        <n v="85"/>
        <n v="110"/>
        <n v="100"/>
      </sharedItems>
    </cacheField>
    <cacheField name="THD D5" numFmtId="0">
      <sharedItems containsString="0" containsBlank="1" containsNumber="1" containsInteger="1" minValue="85" maxValue="150" count="6">
        <n v="150"/>
        <m/>
        <n v="105"/>
        <n v="85"/>
        <n v="110"/>
        <n v="100"/>
      </sharedItems>
    </cacheField>
    <cacheField name="THL D2" numFmtId="0">
      <sharedItems containsString="0" containsBlank="1" containsNumber="1" minValue="60.918397051317513" maxValue="285.8729743857815" count="29">
        <m/>
        <n v="100"/>
        <n v="79.150847470025823"/>
        <n v="114.70289171256979"/>
        <n v="77.834105090672338"/>
        <n v="81.700000012255003"/>
        <n v="272.64897591006149"/>
        <n v="95"/>
        <n v="182.59057552223351"/>
        <n v="65.269711126411622"/>
        <n v="90.362288959454304"/>
        <n v="110.6684213098935"/>
        <n v="80.174980431745198"/>
        <n v="94.443531354025865"/>
        <n v="94.278471627039011"/>
        <n v="115.5998996770717"/>
        <n v="79.004542761208768"/>
        <n v="81.345418102281627"/>
        <n v="84.134868193714524"/>
        <n v="163.83610538172351"/>
        <n v="60.918397051317513"/>
        <n v="121.1115750901193"/>
        <n v="123.2872321276664"/>
        <n v="108.5186400168709"/>
        <n v="170"/>
        <n v="90"/>
        <n v="191.48593082318791"/>
        <n v="112.1913812361764"/>
        <n v="285.8729743857815"/>
      </sharedItems>
    </cacheField>
    <cacheField name="THL D4" numFmtId="0">
      <sharedItems containsString="0" containsBlank="1" containsNumber="1" minValue="79.774091376725309" maxValue="400.22216414009409" count="31">
        <m/>
        <n v="125"/>
        <n v="121.14029890052009"/>
        <n v="177.9065259215368"/>
        <n v="120.99399419170309"/>
        <n v="129.00000001935001"/>
        <n v="363.74431131926428"/>
        <n v="145"/>
        <n v="228.23821940279191"/>
        <n v="94.278471627039011"/>
        <n v="147.94467855319971"/>
        <n v="177.82370186884589"/>
        <n v="125.6757448738488"/>
        <n v="141.05202734692179"/>
        <n v="148.66989756571539"/>
        <n v="160.06139955286849"/>
        <n v="121.8718224446054"/>
        <n v="119.0920329770814"/>
        <n v="95.87395345457351"/>
        <n v="125.9683542914829"/>
        <n v="129.20711901177589"/>
        <n v="238.4400462251869"/>
        <n v="79.774091376725309"/>
        <n v="174.05256300376431"/>
        <n v="181.30475312892119"/>
        <n v="172.51681233451271"/>
        <n v="235"/>
        <n v="140"/>
        <n v="231.79875836491169"/>
        <n v="164.40715013730571"/>
        <n v="400.22216414009409"/>
      </sharedItems>
    </cacheField>
    <cacheField name="THL D5" numFmtId="0">
      <sharedItems containsString="0" containsBlank="1" containsNumber="1" minValue="79.774091376725309" maxValue="400.22216414009409" count="31">
        <m/>
        <n v="165"/>
        <n v="121.14029890052009"/>
        <n v="177.9065259215368"/>
        <n v="120.99399419170309"/>
        <n v="129.00000001935001"/>
        <n v="363.74431131926428"/>
        <n v="145"/>
        <n v="256.76799682814078"/>
        <n v="94.278471627039011"/>
        <n v="147.94467855319971"/>
        <n v="177.82370186884589"/>
        <n v="125.6757448738488"/>
        <n v="141.05202734692179"/>
        <n v="148.66989756571539"/>
        <n v="160.06139955286849"/>
        <n v="121.8718224446054"/>
        <n v="119.0920329770814"/>
        <n v="95.87395345457351"/>
        <n v="125.9683542914829"/>
        <n v="129.20711901177589"/>
        <n v="238.4400462251869"/>
        <n v="79.774091376725309"/>
        <n v="174.05256300376431"/>
        <n v="181.30475312892119"/>
        <n v="172.51681233451271"/>
        <n v="240"/>
        <n v="140"/>
        <n v="231.79875836491169"/>
        <n v="164.40715013730571"/>
        <n v="400.22216414009409"/>
      </sharedItems>
    </cacheField>
    <cacheField name="VVN D2" numFmtId="0">
      <sharedItems containsString="0" containsBlank="1" containsNumber="1" minValue="3.9303965890204369" maxValue="6.2234975009335249" count="3">
        <m/>
        <n v="6.2234975009335249"/>
        <n v="3.9303965890204369"/>
      </sharedItems>
    </cacheField>
    <cacheField name="VVN D4" numFmtId="0">
      <sharedItems containsString="0" containsBlank="1" containsNumber="1" minValue="7.8607931780408746" maxValue="8.7128965013069344" count="3">
        <m/>
        <n v="8.7128965013069344"/>
        <n v="7.8607931780408746"/>
      </sharedItems>
    </cacheField>
    <cacheField name="VVN D5" numFmtId="0">
      <sharedItems containsString="0" containsBlank="1" containsNumber="1" minValue="7.8607931780408746" maxValue="8.7128965013069344" count="3">
        <m/>
        <n v="8.7128965013069344"/>
        <n v="7.8607931780408746"/>
      </sharedItems>
    </cacheField>
    <cacheField name="WHA D2" numFmtId="0">
      <sharedItems containsString="0" containsBlank="1" containsNumber="1" minValue="3.9303965890204369" maxValue="3.9303965890204369"/>
    </cacheField>
    <cacheField name="WHA D4" numFmtId="0">
      <sharedItems containsString="0" containsBlank="1" containsNumber="1" minValue="7.8607931780408746" maxValue="7.8607931780408746"/>
    </cacheField>
    <cacheField name="WHA D5" numFmtId="0">
      <sharedItems containsString="0" containsBlank="1" containsNumber="1" minValue="7.8607931780408746" maxValue="7.8607931780408746"/>
    </cacheField>
    <cacheField name="XDO D2" numFmtId="0">
      <sharedItems containsString="0" containsBlank="1" containsNumber="1" minValue="11.90728936868385" maxValue="43.941206665481587"/>
    </cacheField>
    <cacheField name="XDO D4" numFmtId="0">
      <sharedItems containsString="0" containsBlank="1" containsNumber="1" minValue="11.90728936868385" maxValue="43.941206665481587"/>
    </cacheField>
    <cacheField name="XDO D5" numFmtId="0">
      <sharedItems containsString="0" containsBlank="1" containsNumber="1" minValue="11.90728936868385" maxValue="43.941206665481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1">
  <r>
    <s v="LW"/>
    <s v="LWE"/>
    <s v="LWT"/>
    <s v="LW"/>
    <s v="AX1"/>
    <s v="E"/>
    <s v="(PS3)-SGSIN-(MD3)-KRPUS-(AX1)-MXLZC-(MAR)"/>
    <s v="64D8H"/>
    <n v="1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2.74"/>
    <n v="1000.06"/>
    <n v="1035.06"/>
    <n v="5063.58"/>
    <n v="0"/>
    <n v="0"/>
    <n v="882.74"/>
    <n v="1000.06"/>
    <n v="1035.06"/>
    <n v="5063.58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62D14H"/>
    <n v="1401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NCI)-SGSIN-(MD3)-KRPUS-(AX2)-MXZLO-(MAR)"/>
    <s v="56D7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6.88"/>
    <n v="1097.04"/>
    <n v="1125.8800000000001"/>
    <n v="5261.79"/>
    <n v="0"/>
    <n v="0"/>
    <n v="916.88"/>
    <n v="1097.04"/>
    <n v="1125.8800000000001"/>
    <n v="5261.79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NCI"/>
    <s v="MAR"/>
    <s v="R"/>
    <m/>
    <s v="S"/>
    <s v="54D13H"/>
    <n v="1175"/>
    <s v="2018-09-29"/>
    <s v="Historical averaged cost."/>
    <n v="70.067250000000001"/>
    <n v="104.35836999999999"/>
    <n v="104.35836999999999"/>
    <n v="141.181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TIP)-SGSIN-(MD2)-KRPUS-(AX2)-MXLZC-(MAR)"/>
    <s v="60D21H"/>
    <n v="1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9.32"/>
    <n v="946.04"/>
    <n v="981.05"/>
    <n v="5053.6400000000003"/>
    <n v="0"/>
    <n v="0"/>
    <n v="809.32"/>
    <n v="946.04"/>
    <n v="981.05"/>
    <n v="5053.6400000000003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9D3H"/>
    <n v="1322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ACE)-KRPUS-(AX1)-MXZLO-(MAR)"/>
    <s v="54D4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6.35"/>
    <n v="892.65"/>
    <n v="921.72"/>
    <n v="4973.9799999999996"/>
    <n v="0"/>
    <n v="0"/>
    <n v="716.35"/>
    <n v="892.65"/>
    <n v="921.72"/>
    <n v="4973.9799999999996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ACE"/>
    <s v="MAR"/>
    <s v="R"/>
    <m/>
    <s v="S"/>
    <s v="52D10H"/>
    <n v="1186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22.12505299999998"/>
    <n v="390.69817525000002"/>
    <n v="390.69817525000002"/>
    <n v="396.46483180000001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ACE)-KRPUS-(AX2)-MXLZC-(MAR)"/>
    <s v="54D4H"/>
    <n v="2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0.67"/>
    <n v="946"/>
    <n v="975.07"/>
    <n v="5029.6400000000003"/>
    <n v="0"/>
    <n v="0"/>
    <n v="770.67"/>
    <n v="946"/>
    <n v="975.07"/>
    <n v="5029.6400000000003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ACE"/>
    <s v="MAR"/>
    <s v="R"/>
    <m/>
    <s v="S"/>
    <s v="52D10H"/>
    <n v="1186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6.44036"/>
    <n v="444.04728195000001"/>
    <n v="444.04728195000001"/>
    <n v="452.12593650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CI2)-CNSHA-(AX1)-MXLZC-(MAR)"/>
    <s v="71D15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6.15"/>
    <n v="899.5"/>
    <n v="935.19"/>
    <n v="4895.49"/>
    <n v="0"/>
    <n v="0"/>
    <n v="766.15"/>
    <n v="899.5"/>
    <n v="935.19"/>
    <n v="4895.49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21H"/>
    <n v="1535"/>
    <s v="2018-09-29"/>
    <s v="Historical averaged cost."/>
    <n v="70.067250000000001"/>
    <n v="104.35836999999999"/>
    <n v="104.35836999999999"/>
    <n v="141.181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30.93860144000001"/>
    <n v="484.96040213999999"/>
    <n v="485.65040213999998"/>
    <n v="382.90696736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CI2)-CNSHA-(AX1)-MXZLO-(MAR)"/>
    <s v="71D15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5.25"/>
    <n v="718.6"/>
    <n v="754.3"/>
    <n v="4756.3500000000004"/>
    <n v="0"/>
    <n v="0"/>
    <n v="585.25"/>
    <n v="718.6"/>
    <n v="754.3"/>
    <n v="4756.3500000000004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21H"/>
    <n v="1535"/>
    <s v="2018-09-29"/>
    <s v="Historical averaged cost."/>
    <n v="70.067250000000001"/>
    <n v="104.35836999999999"/>
    <n v="104.35836999999999"/>
    <n v="141.181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50.04260144"/>
    <n v="304.06440214000003"/>
    <n v="304.75440214000002"/>
    <n v="243.77096735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CI2)-CNSHA-(AX2)-MXLZC-(MAR)"/>
    <s v="71D15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2.04999999999995"/>
    <n v="775.4"/>
    <n v="811.09"/>
    <n v="4813.1499999999996"/>
    <n v="0"/>
    <n v="0"/>
    <n v="642.04999999999995"/>
    <n v="775.4"/>
    <n v="811.09"/>
    <n v="4813.1499999999996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21H"/>
    <n v="1535"/>
    <s v="2018-09-29"/>
    <s v="Historical averaged cost."/>
    <n v="70.067250000000001"/>
    <n v="104.35836999999999"/>
    <n v="104.35836999999999"/>
    <n v="141.181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06.83660143999998"/>
    <n v="360.85840214000001"/>
    <n v="361.54840214000001"/>
    <n v="300.56496736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CI2)-HKHKG-(CI2)-CNSHA-(AX2)-MXLZC-(MAR)"/>
    <s v="71D15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7.74"/>
    <n v="995.4"/>
    <n v="1031.0899999999999"/>
    <n v="5072.7700000000004"/>
    <n v="0"/>
    <n v="0"/>
    <n v="787.74"/>
    <n v="995.4"/>
    <n v="1031.0899999999999"/>
    <n v="5072.7700000000004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21H"/>
    <n v="1535"/>
    <s v="2018-09-29"/>
    <s v="Historical averaged cost."/>
    <n v="70.067250000000001"/>
    <n v="104.35836999999999"/>
    <n v="104.35836999999999"/>
    <n v="141.181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52.53063119000001"/>
    <n v="580.85894675999998"/>
    <n v="581.54894676000004"/>
    <n v="560.1887966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NCI)-SGSIN-(MD3)-KRPUS-(AX1)-MXZLO-(MAR)"/>
    <s v="70D7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2.54"/>
    <n v="835.2"/>
    <n v="870.2"/>
    <n v="4933.24"/>
    <n v="0"/>
    <n v="0"/>
    <n v="712.54"/>
    <n v="835.2"/>
    <n v="870.2"/>
    <n v="4933.24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NCI"/>
    <s v="MAR"/>
    <s v="R"/>
    <m/>
    <s v="S"/>
    <s v="68D13H"/>
    <n v="1511"/>
    <s v="2018-09-29"/>
    <s v="Historical averaged cost."/>
    <n v="70.067250000000001"/>
    <n v="104.35836999999999"/>
    <n v="104.35836999999999"/>
    <n v="141.181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CI2)-HKHKG-(CI2)-CNSHA-(AX1)-MXLZC-(MAR)"/>
    <s v="71D15H"/>
    <n v="3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1.84"/>
    <n v="1119.5"/>
    <n v="1155.19"/>
    <n v="5155.1099999999997"/>
    <n v="0"/>
    <n v="0"/>
    <n v="911.84"/>
    <n v="1119.5"/>
    <n v="1155.19"/>
    <n v="5155.1099999999997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T"/>
    <s v="69D21H"/>
    <n v="1535"/>
    <s v="2018-09-29"/>
    <s v="Historical averaged cost."/>
    <n v="70.067250000000001"/>
    <n v="104.35836999999999"/>
    <n v="104.35836999999999"/>
    <n v="141.181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76.63263118999998"/>
    <n v="704.96094675999996"/>
    <n v="705.65094676000001"/>
    <n v="642.53079662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TIP)-SGSIN-(MD3)-KRPUS-(AX2)-MXLZC-(MAR)"/>
    <s v="60D21H"/>
    <n v="1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9.32"/>
    <n v="946.04"/>
    <n v="981.05"/>
    <n v="5053.6400000000003"/>
    <n v="0"/>
    <n v="0"/>
    <n v="809.32"/>
    <n v="946.04"/>
    <n v="981.05"/>
    <n v="5053.6400000000003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9D3H"/>
    <n v="1322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3)-KRPUS-(AX1)-MXZLO-(MAR)"/>
    <s v="67D21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85"/>
    <n v="819.16"/>
    <n v="854.17"/>
    <n v="4924.45"/>
    <n v="0"/>
    <n v="0"/>
    <n v="701.85"/>
    <n v="819.16"/>
    <n v="854.17"/>
    <n v="4924.45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66D3H"/>
    <n v="1490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3)-KRPUS-(AX1)-MXLZC-(MAR)"/>
    <s v="67D21H"/>
    <n v="1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2.74"/>
    <n v="1000.06"/>
    <n v="1035.06"/>
    <n v="5063.58"/>
    <n v="0"/>
    <n v="0"/>
    <n v="882.74"/>
    <n v="1000.06"/>
    <n v="1035.06"/>
    <n v="5063.58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66D3H"/>
    <n v="1490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2)-KRPUS-(AX1)-MXZLO-(MAR)"/>
    <s v="60D21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85"/>
    <n v="819.16"/>
    <n v="854.17"/>
    <n v="4924.45"/>
    <n v="0"/>
    <n v="0"/>
    <n v="701.85"/>
    <n v="819.16"/>
    <n v="854.17"/>
    <n v="4924.45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9D3H"/>
    <n v="1322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3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AGX)-KRPUS-(AX1)-MXZLO-(MAR)"/>
    <s v="60D21H"/>
    <n v="2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85"/>
    <n v="819.16"/>
    <n v="854.17"/>
    <n v="4924.45"/>
    <n v="0"/>
    <n v="0"/>
    <n v="701.85"/>
    <n v="819.16"/>
    <n v="854.17"/>
    <n v="4924.45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9D3H"/>
    <n v="1322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TE2)-SGSIN-(MD3)-KRPUS-(AX2)-MXLZC-(MAR)"/>
    <s v="56D6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1.82"/>
    <n v="1053.6600000000001"/>
    <n v="1082.5"/>
    <n v="5133.83"/>
    <n v="0"/>
    <n v="0"/>
    <n v="881.82"/>
    <n v="1053.6600000000001"/>
    <n v="1082.5"/>
    <n v="5133.83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2"/>
    <s v="MAR"/>
    <s v="R"/>
    <m/>
    <s v="S"/>
    <s v="54D12H"/>
    <n v="1247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E2)-SGSIN-(MD3)-KRPUS-(AX1)-MXZLO-(MAR)"/>
    <s v="63D6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5.95"/>
    <n v="810.3"/>
    <n v="845.3"/>
    <n v="4823.76"/>
    <n v="0"/>
    <n v="0"/>
    <n v="695.95"/>
    <n v="810.3"/>
    <n v="845.3"/>
    <n v="4823.76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2"/>
    <s v="MAR"/>
    <s v="R"/>
    <m/>
    <s v="S"/>
    <s v="61D12H"/>
    <n v="1415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E2)-SGSIN-(MD3)-KRPUS-(AX1)-MXLZC-(MAR)"/>
    <s v="63D6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6.85"/>
    <n v="991.19"/>
    <n v="1026.19"/>
    <n v="4962.8900000000003"/>
    <n v="0"/>
    <n v="0"/>
    <n v="876.85"/>
    <n v="991.19"/>
    <n v="1026.19"/>
    <n v="4962.8900000000003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2"/>
    <s v="MAR"/>
    <s v="R"/>
    <m/>
    <s v="S"/>
    <s v="61D12H"/>
    <n v="1415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TE1)-SGSIN-(MD3)-KRPUS-(AX2)-MXLZC-(MAR)"/>
    <s v="53D21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9.02"/>
    <n v="1049.5"/>
    <n v="1078.56"/>
    <n v="5127.37"/>
    <n v="0"/>
    <n v="0"/>
    <n v="879.02"/>
    <n v="1049.5"/>
    <n v="1078.56"/>
    <n v="5127.37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1"/>
    <s v="MAR"/>
    <s v="R"/>
    <m/>
    <s v="S"/>
    <s v="52D3H"/>
    <n v="1179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TE1)-SGSIN-(MD2)-KRPUS-(AX2)-MXLZC-(MAR)"/>
    <s v="53D21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9.02"/>
    <n v="1049.5"/>
    <n v="1078.56"/>
    <n v="5127.37"/>
    <n v="0"/>
    <n v="0"/>
    <n v="879.02"/>
    <n v="1049.5"/>
    <n v="1078.56"/>
    <n v="5127.37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1"/>
    <s v="MAR"/>
    <s v="R"/>
    <m/>
    <s v="S"/>
    <s v="52D3H"/>
    <n v="1179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E1)-SGSIN-(MD3)-KRPUS-(AX1)-MXZLO-(MAR)"/>
    <s v="60D21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5.95"/>
    <n v="810.3"/>
    <n v="845.3"/>
    <n v="4823.76"/>
    <n v="0"/>
    <n v="0"/>
    <n v="695.95"/>
    <n v="810.3"/>
    <n v="845.3"/>
    <n v="4823.76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1"/>
    <s v="MAR"/>
    <s v="R"/>
    <m/>
    <s v="S"/>
    <s v="59D3H"/>
    <n v="1347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E1)-SGSIN-(MD3)-KRPUS-(AX1)-MXLZC-(MAR)"/>
    <s v="60D21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6.85"/>
    <n v="991.19"/>
    <n v="1026.19"/>
    <n v="4962.8900000000003"/>
    <n v="0"/>
    <n v="0"/>
    <n v="876.85"/>
    <n v="991.19"/>
    <n v="1026.19"/>
    <n v="4962.8900000000003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1"/>
    <s v="MAR"/>
    <s v="R"/>
    <m/>
    <s v="S"/>
    <s v="59D3H"/>
    <n v="1347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E1)-SGSIN-(MD2)-KRPUS-(AX1)-MXZLO-(MAR)"/>
    <s v="53D21H"/>
    <n v="1"/>
    <s v="DR"/>
    <s v="D"/>
    <s v="Y"/>
    <s v="Y"/>
    <x v="0"/>
    <s v="BANGALORE"/>
    <x v="1"/>
    <s v="CHENN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1.55"/>
    <n v="922.62"/>
    <n v="951.68"/>
    <n v="4998.18"/>
    <n v="0"/>
    <n v="0"/>
    <n v="771.55"/>
    <n v="922.62"/>
    <n v="951.68"/>
    <n v="4998.18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E1"/>
    <s v="MAR"/>
    <s v="R"/>
    <m/>
    <s v="S"/>
    <s v="52D3H"/>
    <n v="1179"/>
    <s v="2018-09-29"/>
    <s v="Historical averaged cost."/>
    <n v="53.467509999999997"/>
    <n v="79.440250000000006"/>
    <n v="79.440250000000006"/>
    <n v="31.695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PS3)-SGSIN-(MD3)-KRPUS-(AX2)-MXLZC-(MAR)"/>
    <s v="57D8H"/>
    <n v="1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9.12"/>
    <n v="1064.5999999999999"/>
    <n v="1093.3399999999999"/>
    <n v="5237.75"/>
    <n v="0"/>
    <n v="0"/>
    <n v="889.12"/>
    <n v="1064.5999999999999"/>
    <n v="1093.3399999999999"/>
    <n v="5237.75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55D14H"/>
    <n v="1233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PS3)-SGSIN-(AGX)-KRPUS-(AX2)-MXLZC-(MAR)"/>
    <s v="71D8H"/>
    <n v="1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9.32"/>
    <n v="946.04"/>
    <n v="981.05"/>
    <n v="5053.6400000000003"/>
    <n v="0"/>
    <n v="0"/>
    <n v="809.32"/>
    <n v="946.04"/>
    <n v="981.05"/>
    <n v="5053.6400000000003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69D14H"/>
    <n v="1569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PS3)-SGSIN-(MD3)-KRPUS-(AX1)-MXZLO-(MAR)"/>
    <s v="64D8H"/>
    <n v="1"/>
    <s v="DR"/>
    <s v="D"/>
    <s v="Y"/>
    <s v="Y"/>
    <x v="0"/>
    <s v="BANGALORE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85"/>
    <n v="819.16"/>
    <n v="854.17"/>
    <n v="4924.45"/>
    <n v="0"/>
    <n v="0"/>
    <n v="701.85"/>
    <n v="819.16"/>
    <n v="854.17"/>
    <n v="4924.45"/>
    <n v="0"/>
    <n v="0"/>
    <s v="INBLR"/>
    <n v="8.4996503739999998"/>
    <n v="18.234629940000001"/>
    <n v="22.176489513"/>
    <n v="4015.506020588"/>
    <n v="0"/>
    <n v="0"/>
    <n v="8.4996503739999998"/>
    <n v="18.234629940000001"/>
    <n v="22.17648951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62D14H"/>
    <n v="1401"/>
    <s v="2018-09-29"/>
    <s v="Historical averaged cost."/>
    <n v="59.377189999999999"/>
    <n v="88.322789999999998"/>
    <n v="88.322789999999998"/>
    <n v="132.386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7998002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BAS)-SGSIN-(CSW)-KRPUS-(AX2)-MXLZC-(MAR)"/>
    <s v="59D18H"/>
    <n v="1"/>
    <s v="DR"/>
    <s v="D"/>
    <s v="Y"/>
    <s v="Y"/>
    <x v="1"/>
    <s v="CHITTAGONG"/>
    <x v="2"/>
    <s v="CHITTAG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5.29"/>
    <n v="1013.39"/>
    <n v="1418.75"/>
    <n v="1529"/>
    <n v="0"/>
    <n v="0"/>
    <n v="745.29"/>
    <n v="1013.39"/>
    <n v="1418.75"/>
    <n v="1529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64.91"/>
    <n v="671.91"/>
    <n v="711.91"/>
    <n v="0"/>
    <n v="0"/>
    <n v="0"/>
    <m/>
    <m/>
    <m/>
    <m/>
    <m/>
    <m/>
    <m/>
    <m/>
    <m/>
    <m/>
    <m/>
    <m/>
    <s v="BAS"/>
    <s v="MAR"/>
    <m/>
    <m/>
    <s v="S"/>
    <s v="58D6H"/>
    <n v="1311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32.44132314000001"/>
    <n v="475.15599114000003"/>
    <n v="475.15599114000003"/>
    <n v="479.77998714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08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0"/>
    <x v="0"/>
    <x v="0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3"/>
    <s v="E"/>
    <s v="(BAS)-SGSIN-(CSW)-KRPUS-(AX3)-MXZLO-(MAR)"/>
    <s v="59D18H"/>
    <n v="1"/>
    <s v="DR"/>
    <s v="D"/>
    <s v="Y"/>
    <s v="Y"/>
    <x v="1"/>
    <s v="CHITTAGONG"/>
    <x v="2"/>
    <s v="CHITTAG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0.86"/>
    <n v="1028.98"/>
    <n v="1434.34"/>
    <n v="1542.28"/>
    <n v="0"/>
    <n v="0"/>
    <n v="740.86"/>
    <n v="1028.98"/>
    <n v="1434.34"/>
    <n v="1542.28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64.91"/>
    <n v="671.91"/>
    <n v="711.91"/>
    <n v="0"/>
    <n v="0"/>
    <n v="0"/>
    <m/>
    <m/>
    <m/>
    <m/>
    <m/>
    <m/>
    <m/>
    <m/>
    <m/>
    <m/>
    <m/>
    <m/>
    <s v="BAS"/>
    <s v="MAR"/>
    <m/>
    <m/>
    <s v="S"/>
    <s v="58D6H"/>
    <n v="1311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28.00446613999998"/>
    <n v="490.74648444000002"/>
    <n v="490.74648444000002"/>
    <n v="493.0584824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08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0"/>
    <x v="0"/>
    <x v="0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1"/>
    <s v="E"/>
    <s v="(BAS)-SGSIN-(CSW)-KRPUS-(AX1)-MXZLO-(MAR)"/>
    <s v="59D18H"/>
    <n v="1"/>
    <s v="DR"/>
    <s v="D"/>
    <s v="Y"/>
    <s v="Y"/>
    <x v="1"/>
    <s v="CHITTAGONG"/>
    <x v="2"/>
    <s v="CHITTAG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0.86"/>
    <n v="1028.98"/>
    <n v="1434.34"/>
    <n v="1542.28"/>
    <n v="0"/>
    <n v="0"/>
    <n v="740.86"/>
    <n v="1028.98"/>
    <n v="1434.34"/>
    <n v="1542.28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64.91"/>
    <n v="671.91"/>
    <n v="711.91"/>
    <n v="0"/>
    <n v="0"/>
    <n v="0"/>
    <m/>
    <m/>
    <m/>
    <m/>
    <m/>
    <m/>
    <m/>
    <m/>
    <m/>
    <m/>
    <m/>
    <m/>
    <s v="BAS"/>
    <s v="MAR"/>
    <m/>
    <m/>
    <s v="S"/>
    <s v="58D6H"/>
    <n v="1311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28.00446613999998"/>
    <n v="490.74648444000002"/>
    <n v="490.74648444000002"/>
    <n v="493.0584824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08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0"/>
    <x v="0"/>
    <x v="0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3"/>
    <s v="E"/>
    <s v="(AX3)-MXZLO-(MAR)"/>
    <s v="49D9H"/>
    <n v="1"/>
    <s v="DR"/>
    <s v="D"/>
    <s v="Y"/>
    <s v="Y"/>
    <x v="2"/>
    <s v="CHONGQING, CHONGQING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4.18"/>
    <n v="1864.97"/>
    <n v="1909.88"/>
    <n v="4841.87"/>
    <n v="0"/>
    <n v="0"/>
    <n v="894.18"/>
    <n v="1864.97"/>
    <n v="1909.88"/>
    <n v="4841.87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3"/>
    <s v="MAR"/>
    <s v="F"/>
    <m/>
    <s v="S"/>
    <s v="47D16H"/>
    <n v="828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41.81"/>
    <n v="41.81"/>
    <n v="41.81"/>
    <n v="41.81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29001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3"/>
    <s v="E"/>
    <s v="(AX3)-MXZLO-(MAR)"/>
    <s v="44D9H"/>
    <n v="1"/>
    <s v="DR"/>
    <s v="D"/>
    <s v="Y"/>
    <s v="Y"/>
    <x v="2"/>
    <s v="CHONGQING, CHONGQI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07.68"/>
    <n v="1956.53"/>
    <n v="2001.98"/>
    <n v="4819.45"/>
    <n v="0"/>
    <n v="0"/>
    <n v="1107.68"/>
    <n v="1956.53"/>
    <n v="2001.98"/>
    <n v="4819.45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3"/>
    <s v="MAR"/>
    <s v="R"/>
    <m/>
    <s v="S"/>
    <s v="42D15H"/>
    <n v="858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41.81"/>
    <n v="41.81"/>
    <n v="41.81"/>
    <n v="41.81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29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AX1)-MXLZC-(MAR)"/>
    <s v="40D9H"/>
    <n v="2"/>
    <s v="DR"/>
    <s v="D"/>
    <s v="Y"/>
    <s v="Y"/>
    <x v="2"/>
    <s v="CHONGQING, CHONGQI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282.97"/>
    <n v="2129.1"/>
    <n v="2175"/>
    <n v="4945.66"/>
    <n v="0"/>
    <n v="0"/>
    <n v="1282.97"/>
    <n v="2129.1"/>
    <n v="2175"/>
    <n v="4945.6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1"/>
    <s v="MAR"/>
    <s v="R"/>
    <m/>
    <s v="S"/>
    <s v="38D15H"/>
    <n v="753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29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MAR)"/>
    <s v="48D9H"/>
    <n v="1"/>
    <s v="DR"/>
    <s v="D"/>
    <s v="Y"/>
    <s v="Y"/>
    <x v="2"/>
    <s v="CHONGQING, CHONGQING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2.78"/>
    <n v="1862.89"/>
    <n v="1907.91"/>
    <n v="4838.6400000000003"/>
    <n v="0"/>
    <n v="0"/>
    <n v="892.78"/>
    <n v="1862.89"/>
    <n v="1907.91"/>
    <n v="4838.6400000000003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1"/>
    <s v="MAR"/>
    <s v="F"/>
    <m/>
    <s v="S"/>
    <s v="46D16H"/>
    <n v="800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41.81"/>
    <n v="41.81"/>
    <n v="41.81"/>
    <n v="41.81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29001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2"/>
    <s v="E"/>
    <s v="(AX2)-MXLZC-(MAR)"/>
    <s v="54D9H"/>
    <n v="1"/>
    <s v="DR"/>
    <s v="D"/>
    <s v="Y"/>
    <s v="Y"/>
    <x v="2"/>
    <s v="CHONGQING, CHONGQING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7.97"/>
    <n v="1932.17"/>
    <n v="1976.52"/>
    <n v="4914.8100000000004"/>
    <n v="0"/>
    <n v="0"/>
    <n v="957.97"/>
    <n v="1932.17"/>
    <n v="1976.52"/>
    <n v="4914.810000000000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2"/>
    <s v="MAR"/>
    <s v="F"/>
    <m/>
    <s v="S"/>
    <s v="52D15H"/>
    <n v="915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29001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2"/>
    <s v="E"/>
    <s v="(AX2)-MXLZC-(MAR)"/>
    <s v="36D9H"/>
    <n v="1"/>
    <s v="DR"/>
    <s v="D"/>
    <s v="Y"/>
    <s v="Y"/>
    <x v="2"/>
    <s v="CHONGQING, CHONGQI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53.27"/>
    <n v="1996.68"/>
    <n v="2043.02"/>
    <n v="4850.3999999999996"/>
    <n v="0"/>
    <n v="0"/>
    <n v="1153.27"/>
    <n v="1996.68"/>
    <n v="2043.02"/>
    <n v="4850.399999999999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2"/>
    <s v="MAR"/>
    <s v="R"/>
    <m/>
    <s v="S"/>
    <s v="34D15H"/>
    <n v="680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41.81"/>
    <n v="41.81"/>
    <n v="41.81"/>
    <n v="41.81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29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MAR)"/>
    <s v="40D9H"/>
    <n v="1"/>
    <s v="DR"/>
    <s v="D"/>
    <s v="Y"/>
    <s v="Y"/>
    <x v="2"/>
    <s v="CHONGQING, CHONGQI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02.08"/>
    <n v="1948.21"/>
    <n v="1994.1"/>
    <n v="4806.53"/>
    <n v="0"/>
    <n v="0"/>
    <n v="1102.08"/>
    <n v="1948.21"/>
    <n v="1994.1"/>
    <n v="4806.53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1"/>
    <s v="MAR"/>
    <s v="R"/>
    <m/>
    <s v="S"/>
    <s v="38D15H"/>
    <n v="753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29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CI2)-HKHKG-(CI2)-CNSHA-(AX1)-MXLZC-(MAR)"/>
    <s v="70D23H"/>
    <n v="3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1.04"/>
    <n v="1114.04"/>
    <n v="1345.68"/>
    <n v="5154.29"/>
    <n v="0"/>
    <n v="0"/>
    <n v="911.04"/>
    <n v="1114.04"/>
    <n v="1345.68"/>
    <n v="5154.29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T"/>
    <s v="69D5H"/>
    <n v="1535"/>
    <s v="2018-09-29"/>
    <s v="Historical averaged cost."/>
    <n v="69.247249999999994"/>
    <n v="103.53837"/>
    <n v="103.53837"/>
    <n v="140.36099999999999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76.63263118999998"/>
    <n v="704.96094675999996"/>
    <n v="705.65094676000001"/>
    <n v="642.53079662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WN"/>
    <s v="MAR"/>
    <s v="E"/>
    <s v="(PS3)-USLAX-(MAR)"/>
    <s v="59D10H"/>
    <n v="2"/>
    <s v="DR"/>
    <s v="D"/>
    <s v="Y"/>
    <s v="Y"/>
    <x v="3"/>
    <s v="DADRI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35.79"/>
    <n v="1159.44"/>
    <n v="1383.9"/>
    <n v="5166.17"/>
    <n v="0"/>
    <n v="0"/>
    <n v="1035.79"/>
    <n v="1159.44"/>
    <n v="1383.9"/>
    <n v="5166.17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57D16H"/>
    <n v="1283"/>
    <s v="2018-09-29"/>
    <s v="Historical averaged cost."/>
    <n v="87.965999999999994"/>
    <n v="131.11500000000001"/>
    <n v="131.11500000000001"/>
    <n v="4.1150000000000002"/>
    <n v="0"/>
    <n v="0"/>
    <n v="1.4500000000000001E-2"/>
    <n v="1.4500000000000001E-2"/>
    <n v="1.4500000000000001E-2"/>
    <n v="1.4500000000000001E-2"/>
    <n v="0"/>
    <n v="0"/>
    <n v="162.893"/>
    <n v="162.893"/>
    <n v="162.893"/>
    <n v="149.82300000000001"/>
    <n v="0"/>
    <n v="0"/>
    <n v="0"/>
    <n v="0"/>
    <n v="0"/>
    <n v="0"/>
    <n v="0"/>
    <n v="0"/>
    <n v="641.87900000000002"/>
    <n v="641.87900000000002"/>
    <n v="641.87900000000002"/>
    <n v="641.87900000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3)-KRPUS-(AX1)-MXZLO-(MAR)"/>
    <s v="67D5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04"/>
    <n v="813.7"/>
    <n v="1044.6500000000001"/>
    <n v="4923.63"/>
    <n v="0"/>
    <n v="0"/>
    <n v="701.04"/>
    <n v="813.7"/>
    <n v="1044.6500000000001"/>
    <n v="4923.63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65D11H"/>
    <n v="1490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PS3)-SGSIN-(MD3)-KRPUS-(AX1)-MXZLO-(MAR)"/>
    <s v="63D16H"/>
    <n v="1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04"/>
    <n v="813.7"/>
    <n v="1044.6500000000001"/>
    <n v="4923.63"/>
    <n v="0"/>
    <n v="0"/>
    <n v="701.04"/>
    <n v="813.7"/>
    <n v="1044.6500000000001"/>
    <n v="4923.63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61D22H"/>
    <n v="1401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PS3)-SGSIN-(MD3)-KRPUS-(AX2)-MXLZC-(MAR)"/>
    <s v="56D16H"/>
    <n v="1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8.31"/>
    <n v="1059.1400000000001"/>
    <n v="1283.82"/>
    <n v="5236.93"/>
    <n v="0"/>
    <n v="0"/>
    <n v="888.31"/>
    <n v="1059.1400000000001"/>
    <n v="1283.82"/>
    <n v="5236.93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54D22H"/>
    <n v="1233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PS3)-SGSIN-(AGX)-KRPUS-(AX2)-MXLZC-(MAR)"/>
    <s v="70D16H"/>
    <n v="1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8.51"/>
    <n v="940.58"/>
    <n v="1171.53"/>
    <n v="5052.82"/>
    <n v="0"/>
    <n v="0"/>
    <n v="808.51"/>
    <n v="940.58"/>
    <n v="1171.53"/>
    <n v="5052.82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68D22H"/>
    <n v="1569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2)-KRPUS-(AX1)-MXZLO-(MAR)"/>
    <s v="60D5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04"/>
    <n v="813.7"/>
    <n v="1044.6500000000001"/>
    <n v="4923.63"/>
    <n v="0"/>
    <n v="0"/>
    <n v="701.04"/>
    <n v="813.7"/>
    <n v="1044.6500000000001"/>
    <n v="4923.63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8D11H"/>
    <n v="1322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AGX)-KRPUS-(AX1)-MXZLO-(MAR)"/>
    <s v="60D5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04"/>
    <n v="813.7"/>
    <n v="1044.6500000000001"/>
    <n v="4923.63"/>
    <n v="0"/>
    <n v="0"/>
    <n v="701.04"/>
    <n v="813.7"/>
    <n v="1044.6500000000001"/>
    <n v="4923.63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8D11H"/>
    <n v="1322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PS3)-SGSIN-(AGX)-KRPUS-(AX2)-MXZLO-(MAR)"/>
    <s v="66D10H"/>
    <n v="3"/>
    <s v="DR"/>
    <s v="D"/>
    <s v="Y"/>
    <s v="Y"/>
    <x v="3"/>
    <s v="DADRI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6.4"/>
    <n v="1002.67"/>
    <n v="1233.6199999999999"/>
    <n v="4943.8599999999997"/>
    <n v="0"/>
    <n v="0"/>
    <n v="856.4"/>
    <n v="1002.67"/>
    <n v="1233.6199999999999"/>
    <n v="4943.8599999999997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T"/>
    <s v="64D16H"/>
    <n v="1451"/>
    <s v="2018-09-29"/>
    <s v="Historical averaged cost."/>
    <n v="87.965999999999994"/>
    <n v="131.11500000000001"/>
    <n v="131.11500000000001"/>
    <n v="4.1150000000000002"/>
    <n v="0"/>
    <n v="0"/>
    <n v="1.4500000000000001E-2"/>
    <n v="1.4500000000000001E-2"/>
    <n v="1.4500000000000001E-2"/>
    <n v="1.4500000000000001E-2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PS3)-SGSIN-(AGX)-KRPUS-(AX1)-MXZLO-(MAR)"/>
    <s v="73D10H"/>
    <n v="3"/>
    <s v="DR"/>
    <s v="D"/>
    <s v="Y"/>
    <s v="Y"/>
    <x v="3"/>
    <s v="DADRI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0.45"/>
    <n v="857.31"/>
    <n v="1088.26"/>
    <n v="4796.1899999999996"/>
    <n v="0"/>
    <n v="0"/>
    <n v="730.45"/>
    <n v="857.31"/>
    <n v="1088.26"/>
    <n v="4796.1899999999996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T"/>
    <s v="71D16H"/>
    <n v="1619"/>
    <s v="2018-09-29"/>
    <s v="Historical averaged cost."/>
    <n v="87.965999999999994"/>
    <n v="131.11500000000001"/>
    <n v="131.11500000000001"/>
    <n v="4.1150000000000002"/>
    <n v="0"/>
    <n v="0"/>
    <n v="1.4500000000000001E-2"/>
    <n v="1.4500000000000001E-2"/>
    <n v="1.4500000000000001E-2"/>
    <n v="1.4500000000000001E-2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2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CI2)-CNSHA-(AX1)-MXLZC-(MAR)"/>
    <s v="70D23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5.34"/>
    <n v="894.04"/>
    <n v="1125.67"/>
    <n v="4894.67"/>
    <n v="0"/>
    <n v="0"/>
    <n v="765.34"/>
    <n v="894.04"/>
    <n v="1125.67"/>
    <n v="4894.67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5H"/>
    <n v="1535"/>
    <s v="2018-09-29"/>
    <s v="Historical averaged cost."/>
    <n v="69.247249999999994"/>
    <n v="103.53837"/>
    <n v="103.53837"/>
    <n v="140.36099999999999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30.93860144000001"/>
    <n v="484.96040213999999"/>
    <n v="485.65040213999998"/>
    <n v="382.90696736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PS3)-SGSIN-(MD3)-KRPUS-(AX1)-MXLZC-(MAR)"/>
    <s v="63D16H"/>
    <n v="1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1.94"/>
    <n v="994.6"/>
    <n v="1225.54"/>
    <n v="5062.76"/>
    <n v="0"/>
    <n v="0"/>
    <n v="881.94"/>
    <n v="994.6"/>
    <n v="1225.54"/>
    <n v="5062.76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PS3"/>
    <s v="MAR"/>
    <s v="R"/>
    <m/>
    <s v="S"/>
    <s v="61D22H"/>
    <n v="1401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TIP)-SGSIN-(MD3)-KRPUS-(AX2)-MXLZC-(MAR)"/>
    <s v="60D5H"/>
    <n v="1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8.51"/>
    <n v="940.58"/>
    <n v="1171.53"/>
    <n v="5052.82"/>
    <n v="0"/>
    <n v="0"/>
    <n v="808.51"/>
    <n v="940.58"/>
    <n v="1171.53"/>
    <n v="5052.82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8D11H"/>
    <n v="1322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SW2)-CNSHA-(AX1)-MXZLO-(MAR)"/>
    <s v="74D17H"/>
    <n v="3"/>
    <s v="DR"/>
    <s v="D"/>
    <s v="Y"/>
    <s v="Y"/>
    <x v="3"/>
    <s v="DADRI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7.89"/>
    <n v="897.69"/>
    <n v="1129.32"/>
    <n v="4776.2700000000004"/>
    <n v="0"/>
    <n v="0"/>
    <n v="757.89"/>
    <n v="897.69"/>
    <n v="1129.32"/>
    <n v="4776.2700000000004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T"/>
    <s v="72D23H"/>
    <n v="1654"/>
    <s v="2018-09-29"/>
    <s v="Historical averaged cost."/>
    <n v="87.965999999999994"/>
    <n v="131.11500000000001"/>
    <n v="131.11500000000001"/>
    <n v="4.1150000000000002"/>
    <n v="0"/>
    <n v="0"/>
    <n v="1.4500000000000001E-2"/>
    <n v="1.4500000000000001E-2"/>
    <n v="1.4500000000000001E-2"/>
    <n v="1.4500000000000001E-2"/>
    <n v="0"/>
    <n v="0"/>
    <n v="162.893"/>
    <n v="162.893"/>
    <n v="162.893"/>
    <n v="149.82300000000001"/>
    <n v="0"/>
    <n v="0"/>
    <n v="0"/>
    <n v="0"/>
    <n v="0"/>
    <n v="0"/>
    <n v="0"/>
    <n v="0"/>
    <n v="404.76759657999997"/>
    <n v="461.03339727999997"/>
    <n v="461.72339727999997"/>
    <n v="400.7399624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2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CI2)-CNSHA-(AX1)-MXZLO-(MAR)"/>
    <s v="70D23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4.45000000000005"/>
    <n v="713.14"/>
    <n v="944.78"/>
    <n v="4755.53"/>
    <n v="0"/>
    <n v="0"/>
    <n v="584.45000000000005"/>
    <n v="713.14"/>
    <n v="944.78"/>
    <n v="4755.53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5H"/>
    <n v="1535"/>
    <s v="2018-09-29"/>
    <s v="Historical averaged cost."/>
    <n v="69.247249999999994"/>
    <n v="103.53837"/>
    <n v="103.53837"/>
    <n v="140.36099999999999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250.04260144"/>
    <n v="304.06440214000003"/>
    <n v="304.75440214000002"/>
    <n v="243.77096735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TIP)-SGSIN-(MD2)-KRPUS-(AX2)-MXLZC-(MAR)"/>
    <s v="60D5H"/>
    <n v="1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8.51"/>
    <n v="940.58"/>
    <n v="1171.53"/>
    <n v="5052.82"/>
    <n v="0"/>
    <n v="0"/>
    <n v="808.51"/>
    <n v="940.58"/>
    <n v="1171.53"/>
    <n v="5052.82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58D11H"/>
    <n v="1322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3)-KRPUS-(AX1)-MXLZC-(MAR)"/>
    <s v="67D5H"/>
    <n v="1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1.94"/>
    <n v="994.6"/>
    <n v="1225.54"/>
    <n v="5062.76"/>
    <n v="0"/>
    <n v="0"/>
    <n v="881.94"/>
    <n v="994.6"/>
    <n v="1225.54"/>
    <n v="5062.76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S"/>
    <s v="65D11H"/>
    <n v="1490"/>
    <s v="2018-09-29"/>
    <s v="Historical averaged cost."/>
    <n v="58.557189999999999"/>
    <n v="87.502790000000005"/>
    <n v="87.502790000000005"/>
    <n v="131.566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CMS)-CNSHA-(AX1)-MXZLO-(MAR)"/>
    <s v="74D17H"/>
    <n v="3"/>
    <s v="DR"/>
    <s v="D"/>
    <s v="Y"/>
    <s v="Y"/>
    <x v="3"/>
    <s v="DADRI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9.32"/>
    <n v="900.84"/>
    <n v="1132.47"/>
    <n v="4779.42"/>
    <n v="0"/>
    <n v="0"/>
    <n v="759.32"/>
    <n v="900.84"/>
    <n v="1132.47"/>
    <n v="4779.42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TIP"/>
    <s v="MAR"/>
    <s v="R"/>
    <m/>
    <s v="T"/>
    <s v="72D23H"/>
    <n v="1654"/>
    <s v="2018-09-29"/>
    <s v="Historical averaged cost."/>
    <n v="87.965999999999994"/>
    <n v="131.11500000000001"/>
    <n v="131.11500000000001"/>
    <n v="4.1150000000000002"/>
    <n v="0"/>
    <n v="0"/>
    <n v="1.4500000000000001E-2"/>
    <n v="1.4500000000000001E-2"/>
    <n v="1.4500000000000001E-2"/>
    <n v="1.4500000000000001E-2"/>
    <n v="0"/>
    <n v="0"/>
    <n v="162.893"/>
    <n v="162.893"/>
    <n v="162.893"/>
    <n v="149.82300000000001"/>
    <n v="0"/>
    <n v="0"/>
    <n v="0"/>
    <n v="0"/>
    <n v="0"/>
    <n v="0"/>
    <n v="0"/>
    <n v="0"/>
    <n v="406.19659658"/>
    <n v="464.18039728000002"/>
    <n v="464.87039728000002"/>
    <n v="403.8869624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CI2)-CNSHA-(AX2)-MXLZC-(MAR)"/>
    <s v="70D23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1.24"/>
    <n v="769.94"/>
    <n v="1001.57"/>
    <n v="4812.33"/>
    <n v="0"/>
    <n v="0"/>
    <n v="641.24"/>
    <n v="769.94"/>
    <n v="1001.57"/>
    <n v="4812.33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5H"/>
    <n v="1535"/>
    <s v="2018-09-29"/>
    <s v="Historical averaged cost."/>
    <n v="69.247249999999994"/>
    <n v="103.53837"/>
    <n v="103.53837"/>
    <n v="140.36099999999999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06.83660143999998"/>
    <n v="360.85840214000001"/>
    <n v="361.54840214000001"/>
    <n v="300.56496736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CI2)-HKHKG-(CI2)-CNSHA-(AX2)-MXLZC-(MAR)"/>
    <s v="70D23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6.94"/>
    <n v="989.94"/>
    <n v="1221.57"/>
    <n v="5071.95"/>
    <n v="0"/>
    <n v="0"/>
    <n v="786.94"/>
    <n v="989.94"/>
    <n v="1221.57"/>
    <n v="5071.95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CI2"/>
    <s v="MAR"/>
    <s v="R"/>
    <m/>
    <s v="S"/>
    <s v="69D5H"/>
    <n v="1535"/>
    <s v="2018-09-29"/>
    <s v="Historical averaged cost."/>
    <n v="69.247249999999994"/>
    <n v="103.53837"/>
    <n v="103.53837"/>
    <n v="140.36099999999999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452.53063119000001"/>
    <n v="580.85894675999998"/>
    <n v="581.54894676000004"/>
    <n v="560.1887966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NCI)-SGSIN-(MD3)-KRPUS-(AX1)-MXZLO-(MAR)"/>
    <s v="69D15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1.73"/>
    <n v="829.74"/>
    <n v="1060.68"/>
    <n v="4932.42"/>
    <n v="0"/>
    <n v="0"/>
    <n v="711.73"/>
    <n v="829.74"/>
    <n v="1060.68"/>
    <n v="4932.42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NCI"/>
    <s v="MAR"/>
    <s v="R"/>
    <m/>
    <s v="S"/>
    <s v="67D21H"/>
    <n v="1511"/>
    <s v="2018-09-29"/>
    <s v="Historical averaged cost."/>
    <n v="69.247249999999994"/>
    <n v="103.53837"/>
    <n v="103.53837"/>
    <n v="140.36099999999999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NCI)-SGSIN-(AGX)-KRPUS-(AX2)-MXZLO-(MAR)"/>
    <s v="65D13H"/>
    <n v="1"/>
    <s v="DR"/>
    <s v="D"/>
    <s v="Y"/>
    <s v="Y"/>
    <x v="3"/>
    <s v="DADRI"/>
    <x v="6"/>
    <s v="MUNDR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8.38"/>
    <n v="1051.1400000000001"/>
    <n v="1282.0899999999999"/>
    <n v="5012.82"/>
    <n v="0"/>
    <n v="0"/>
    <n v="888.38"/>
    <n v="1051.1400000000001"/>
    <n v="1282.0899999999999"/>
    <n v="5012.82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NCI"/>
    <s v="MAR"/>
    <s v="R"/>
    <m/>
    <s v="S"/>
    <s v="63D19H"/>
    <n v="1461"/>
    <s v="2018-09-29"/>
    <s v="Historical averaged cost."/>
    <n v="119.94799999999999"/>
    <n v="179.58699999999999"/>
    <n v="179.58699999999999"/>
    <n v="73.087000000000003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NCI)-SGSIN-(AR1)-KRPUS-(AX2)-MXZLO-(MAR)"/>
    <s v="51D13H"/>
    <n v="2"/>
    <s v="DR"/>
    <s v="D"/>
    <s v="Y"/>
    <s v="Y"/>
    <x v="3"/>
    <s v="DADRI"/>
    <x v="6"/>
    <s v="MUNDR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61.18"/>
    <n v="1159.3"/>
    <n v="1384.53"/>
    <n v="5180.78"/>
    <n v="0"/>
    <n v="0"/>
    <n v="961.18"/>
    <n v="1159.3"/>
    <n v="1384.53"/>
    <n v="5180.78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NCI"/>
    <s v="MAR"/>
    <s v="R"/>
    <m/>
    <s v="S"/>
    <s v="49D19H"/>
    <n v="1125"/>
    <s v="2018-09-29"/>
    <s v="Historical averaged cost."/>
    <n v="119.94799999999999"/>
    <n v="179.58699999999999"/>
    <n v="179.58699999999999"/>
    <n v="73.087000000000003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NCI)-SGSIN-(MD3)-KRPUS-(AX2)-MXZLO-(MAR)"/>
    <s v="51D13H"/>
    <n v="2"/>
    <s v="DR"/>
    <s v="D"/>
    <s v="Y"/>
    <s v="Y"/>
    <x v="3"/>
    <s v="DADRI"/>
    <x v="6"/>
    <s v="MUNDR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61.18"/>
    <n v="1159.3"/>
    <n v="1384.53"/>
    <n v="5180.78"/>
    <n v="0"/>
    <n v="0"/>
    <n v="961.18"/>
    <n v="1159.3"/>
    <n v="1384.53"/>
    <n v="5180.78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NCI"/>
    <s v="MAR"/>
    <s v="R"/>
    <m/>
    <s v="S"/>
    <s v="49D19H"/>
    <n v="1125"/>
    <s v="2018-09-29"/>
    <s v="Historical averaged cost."/>
    <n v="119.94799999999999"/>
    <n v="179.58699999999999"/>
    <n v="179.58699999999999"/>
    <n v="73.087000000000003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2"/>
    <s v="E"/>
    <s v="(NCI)-SGSIN-(MD3)-KRPUS-(AX2)-MXZLO-(MAR)"/>
    <s v="55D15H"/>
    <n v="2"/>
    <s v="DR"/>
    <s v="D"/>
    <s v="Y"/>
    <s v="Y"/>
    <x v="3"/>
    <s v="DADRI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6.08"/>
    <n v="1091.57"/>
    <n v="1316.36"/>
    <n v="5260.97"/>
    <n v="0"/>
    <n v="0"/>
    <n v="916.08"/>
    <n v="1091.57"/>
    <n v="1316.36"/>
    <n v="5260.97"/>
    <n v="0"/>
    <n v="0"/>
    <s v="INDRI"/>
    <n v="8.4996503739999998"/>
    <n v="13.578655583"/>
    <n v="213.46422597399999"/>
    <n v="4015.506020588"/>
    <n v="0"/>
    <n v="0"/>
    <n v="8.4996503739999998"/>
    <n v="13.578655583"/>
    <n v="213.464225973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388.26"/>
    <n v="570.26"/>
    <n v="570.26"/>
    <n v="0"/>
    <n v="0"/>
    <n v="0"/>
    <m/>
    <m/>
    <m/>
    <m/>
    <m/>
    <m/>
    <m/>
    <m/>
    <m/>
    <m/>
    <m/>
    <m/>
    <s v="NCI"/>
    <s v="MAR"/>
    <s v="R"/>
    <m/>
    <s v="S"/>
    <s v="53D21H"/>
    <n v="1175"/>
    <s v="2018-09-29"/>
    <s v="Historical averaged cost."/>
    <n v="69.247249999999994"/>
    <n v="103.53837"/>
    <n v="103.53837"/>
    <n v="140.36099999999999"/>
    <n v="0"/>
    <n v="0"/>
    <n v="1.4500000000000001E-2"/>
    <n v="1.4500000000000001E-2"/>
    <n v="1.4500000000000001E-2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84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1"/>
    <s v="E"/>
    <s v="(AX1)-MXZLO-(MAR)"/>
    <s v="42D3H"/>
    <n v="2"/>
    <s v="DR"/>
    <s v="D"/>
    <s v="Y"/>
    <s v="Y"/>
    <x v="4"/>
    <s v="FOSH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4.5"/>
    <n v="1069.5899999999999"/>
    <n v="1140.93"/>
    <n v="1332.13"/>
    <n v="0"/>
    <n v="0"/>
    <n v="864.5"/>
    <n v="1069.5899999999999"/>
    <n v="1140.93"/>
    <n v="1332.13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9H"/>
    <n v="884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209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7D19H"/>
    <n v="3"/>
    <s v="DR"/>
    <s v="D"/>
    <s v="Y"/>
    <s v="Y"/>
    <x v="4"/>
    <s v="FOSH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17.69"/>
    <n v="1262.77"/>
    <n v="1334.54"/>
    <n v="1525.33"/>
    <n v="0"/>
    <n v="0"/>
    <n v="1017.69"/>
    <n v="1262.77"/>
    <n v="1334.54"/>
    <n v="1525.33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6D1H"/>
    <n v="797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209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15H"/>
    <n v="1"/>
    <s v="DR"/>
    <s v="D"/>
    <s v="Y"/>
    <s v="Y"/>
    <x v="4"/>
    <s v="FOSHAN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7.91"/>
    <n v="1100.48"/>
    <n v="1171.7"/>
    <n v="1106.76"/>
    <n v="0"/>
    <n v="0"/>
    <n v="887.91"/>
    <n v="1100.48"/>
    <n v="1171.7"/>
    <n v="1106.76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22H"/>
    <n v="873"/>
    <s v="2018-09-29"/>
    <s v="Historical averaged cost."/>
    <n v="91.532589999999999"/>
    <n v="135.29938999999999"/>
    <n v="135.29938999999999"/>
    <n v="165.43816000000001"/>
    <n v="0"/>
    <n v="0"/>
    <n v="159.58000000000001"/>
    <n v="236.18"/>
    <n v="236.18"/>
    <n v="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209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7D19H"/>
    <n v="1"/>
    <s v="DR"/>
    <s v="D"/>
    <s v="Y"/>
    <s v="Y"/>
    <x v="4"/>
    <s v="FOSH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5.7"/>
    <n v="1118.07"/>
    <n v="1189.8399999999999"/>
    <n v="1376.01"/>
    <n v="0"/>
    <n v="0"/>
    <n v="915.7"/>
    <n v="1118.07"/>
    <n v="1189.8399999999999"/>
    <n v="1376.01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6D1H"/>
    <n v="782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209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9D14H"/>
    <n v="1"/>
    <s v="DR"/>
    <s v="D"/>
    <s v="Y"/>
    <s v="Y"/>
    <x v="4"/>
    <s v="FOSHAN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4.93"/>
    <n v="1124.06"/>
    <n v="1195.6099999999999"/>
    <n v="1361.64"/>
    <n v="0"/>
    <n v="0"/>
    <n v="914.93"/>
    <n v="1124.06"/>
    <n v="1195.6099999999999"/>
    <n v="1361.64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7D21H"/>
    <n v="814"/>
    <s v="2018-09-29"/>
    <s v="Historical averaged cost."/>
    <n v="110.87472"/>
    <n v="166.13449"/>
    <n v="166.13449"/>
    <n v="183.10584"/>
    <n v="0"/>
    <n v="0"/>
    <n v="114.66545000000001"/>
    <n v="178.36848000000001"/>
    <n v="178.36848000000001"/>
    <n v="191.1090900000000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209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2D3H"/>
    <n v="2"/>
    <s v="DR"/>
    <s v="D"/>
    <s v="Y"/>
    <s v="Y"/>
    <x v="4"/>
    <s v="FOSH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45.4000000000001"/>
    <n v="1250.49"/>
    <n v="1321.82"/>
    <n v="1471.27"/>
    <n v="0"/>
    <n v="0"/>
    <n v="1045.4000000000001"/>
    <n v="1250.49"/>
    <n v="1321.82"/>
    <n v="1471.27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9H"/>
    <n v="884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209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9CV)-CNXMN-(AX2)-MXLZC-(MAR)"/>
    <s v="53D3H"/>
    <n v="3"/>
    <s v="DR"/>
    <s v="D"/>
    <s v="Y"/>
    <s v="Y"/>
    <x v="5"/>
    <s v="FUZHOU, FUJIAN"/>
    <x v="10"/>
    <s v="FUZHOU, FUJI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2.36"/>
    <n v="1242.9000000000001"/>
    <n v="1220.3"/>
    <n v="1550.69"/>
    <n v="0"/>
    <n v="0"/>
    <n v="892.36"/>
    <n v="1242.9000000000001"/>
    <n v="1220.3"/>
    <n v="1550.6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9CV"/>
    <s v="MAR"/>
    <m/>
    <m/>
    <s v="T"/>
    <s v="51D15H"/>
    <n v="1205"/>
    <s v="2018-09-29"/>
    <s v="Historical averaged cost."/>
    <n v="4"/>
    <n v="4"/>
    <n v="4"/>
    <n v="4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37.93070108000001"/>
    <n v="265.35770396999999"/>
    <n v="265.35770396999999"/>
    <n v="279.36784301"/>
    <n v="0"/>
    <n v="0"/>
    <n v="135"/>
    <n v="275"/>
    <n v="275"/>
    <n v="290"/>
    <n v="0"/>
    <n v="0"/>
    <n v="0"/>
    <n v="0"/>
    <n v="0"/>
    <n v="0"/>
    <n v="0"/>
    <n v="0"/>
    <n v="74.2"/>
    <n v="110.24"/>
    <n v="104.41"/>
    <n v="171.1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5020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1"/>
    <s v="E"/>
    <s v="(AX1)-MXLZC-(MAR)"/>
    <s v="39D9H"/>
    <n v="2"/>
    <s v="DR"/>
    <s v="D"/>
    <s v="Y"/>
    <s v="Y"/>
    <x v="5"/>
    <s v="FUZHOU, FUJIAN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84.99"/>
    <n v="1301.2"/>
    <n v="1280.1400000000001"/>
    <n v="1608.98"/>
    <n v="0"/>
    <n v="0"/>
    <n v="984.99"/>
    <n v="1301.2"/>
    <n v="1280.1400000000001"/>
    <n v="1608.98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52"/>
    <n v="722.41"/>
    <n v="722.41"/>
    <n v="0"/>
    <n v="0"/>
    <n v="0"/>
    <m/>
    <m/>
    <m/>
    <m/>
    <m/>
    <m/>
    <m/>
    <m/>
    <m/>
    <m/>
    <m/>
    <m/>
    <s v="AX1"/>
    <s v="MAR"/>
    <s v="F"/>
    <m/>
    <s v="S"/>
    <s v="37D15H"/>
    <n v="753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1"/>
    <s v="E"/>
    <s v="(AX1)-MXZLO-(MAR)"/>
    <s v="43D17H"/>
    <n v="2"/>
    <s v="DR"/>
    <s v="D"/>
    <s v="Y"/>
    <s v="Y"/>
    <x v="5"/>
    <s v="FUZHOU, FUJIAN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9.22"/>
    <n v="1252.4000000000001"/>
    <n v="1230.79"/>
    <n v="1587.59"/>
    <n v="0"/>
    <n v="0"/>
    <n v="889.22"/>
    <n v="1252.4000000000001"/>
    <n v="1230.79"/>
    <n v="1587.5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1"/>
    <s v="MAR"/>
    <s v="F"/>
    <m/>
    <s v="S"/>
    <s v="41D23H"/>
    <n v="884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2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1"/>
    <s v="E"/>
    <s v="(AX1)-MXZLO-(MAR)"/>
    <s v="39D9H"/>
    <n v="1"/>
    <s v="DR"/>
    <s v="D"/>
    <s v="Y"/>
    <s v="Y"/>
    <x v="5"/>
    <s v="FUZHOU, FUJIAN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4.09"/>
    <n v="1120.3"/>
    <n v="1099.24"/>
    <n v="1469.85"/>
    <n v="0"/>
    <n v="0"/>
    <n v="804.09"/>
    <n v="1120.3"/>
    <n v="1099.24"/>
    <n v="1469.85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52"/>
    <n v="722.41"/>
    <n v="722.41"/>
    <n v="0"/>
    <n v="0"/>
    <n v="0"/>
    <m/>
    <m/>
    <m/>
    <m/>
    <m/>
    <m/>
    <m/>
    <m/>
    <m/>
    <m/>
    <m/>
    <m/>
    <s v="AX1"/>
    <s v="MAR"/>
    <s v="F"/>
    <m/>
    <s v="S"/>
    <s v="37D15H"/>
    <n v="753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1"/>
    <s v="E"/>
    <s v="(AX1)-MXLZC-(MAR)"/>
    <s v="43D17H"/>
    <n v="2"/>
    <s v="DR"/>
    <s v="D"/>
    <s v="Y"/>
    <s v="Y"/>
    <x v="5"/>
    <s v="FUZHOU, FUJIAN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70.1199999999999"/>
    <n v="1433.3"/>
    <n v="1411.68"/>
    <n v="1726.72"/>
    <n v="0"/>
    <n v="0"/>
    <n v="1070.1199999999999"/>
    <n v="1433.3"/>
    <n v="1411.68"/>
    <n v="1726.7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1"/>
    <s v="MAR"/>
    <s v="F"/>
    <m/>
    <s v="S"/>
    <s v="41D23H"/>
    <n v="884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2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2"/>
    <s v="E"/>
    <s v="(CSW)-KRPUS-(AX2)-MXLZC-(MAR)"/>
    <s v="39D9H"/>
    <n v="3"/>
    <s v="DR"/>
    <s v="D"/>
    <s v="Y"/>
    <s v="Y"/>
    <x v="5"/>
    <s v="FUZHOU, FUJIAN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41.01"/>
    <n v="1443.5"/>
    <n v="1422.43"/>
    <n v="1777.56"/>
    <n v="0"/>
    <n v="0"/>
    <n v="1041.01"/>
    <n v="1443.5"/>
    <n v="1422.43"/>
    <n v="1777.56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CSW"/>
    <s v="MAR"/>
    <s v="F"/>
    <m/>
    <s v="T"/>
    <s v="37D15H"/>
    <n v="797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3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AX3)-MXZLO-(MAR)"/>
    <s v="43D9H"/>
    <n v="1"/>
    <s v="DR"/>
    <s v="D"/>
    <s v="Y"/>
    <s v="Y"/>
    <x v="5"/>
    <s v="FUZHOU, FUJIAN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9.69"/>
    <n v="1128.6199999999999"/>
    <n v="1107.1199999999999"/>
    <n v="1482.77"/>
    <n v="0"/>
    <n v="0"/>
    <n v="809.69"/>
    <n v="1128.6199999999999"/>
    <n v="1107.1199999999999"/>
    <n v="1482.77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52"/>
    <n v="722.41"/>
    <n v="722.41"/>
    <n v="0"/>
    <n v="0"/>
    <n v="0"/>
    <m/>
    <m/>
    <m/>
    <m/>
    <m/>
    <m/>
    <m/>
    <m/>
    <m/>
    <m/>
    <m/>
    <m/>
    <s v="AX3"/>
    <s v="MAR"/>
    <s v="F"/>
    <m/>
    <s v="S"/>
    <s v="41D15H"/>
    <n v="858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2"/>
    <s v="E"/>
    <s v="(AX2)-MXLZC-(MAR)"/>
    <s v="41D1H"/>
    <n v="1"/>
    <s v="DR"/>
    <s v="D"/>
    <s v="Y"/>
    <s v="Y"/>
    <x v="5"/>
    <s v="FUZHOU, FUJIAN"/>
    <x v="11"/>
    <s v="XIAMEN, FUJI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5"/>
    <n v="1128.71"/>
    <n v="1107.43"/>
    <n v="1455.69"/>
    <n v="0"/>
    <n v="0"/>
    <n v="835"/>
    <n v="1128.71"/>
    <n v="1107.43"/>
    <n v="1455.6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2"/>
    <s v="MAR"/>
    <s v="F"/>
    <m/>
    <s v="S"/>
    <s v="39D8H"/>
    <n v="859"/>
    <s v="2018-09-29"/>
    <s v="Historical averaged cost."/>
    <n v="67.504099999999994"/>
    <n v="100.90221"/>
    <n v="100.90221"/>
    <n v="119.59263"/>
    <n v="0"/>
    <n v="0"/>
    <n v="86.636120000000005"/>
    <n v="171.99817999999999"/>
    <n v="171.99817999999999"/>
    <n v="215.31623999999999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2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2"/>
    <s v="E"/>
    <s v="(AX2)-MXLZC-(MAR)"/>
    <s v="35D9H"/>
    <n v="1"/>
    <s v="DR"/>
    <s v="D"/>
    <s v="Y"/>
    <s v="Y"/>
    <x v="5"/>
    <s v="FUZHOU, FUJIAN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5.28"/>
    <n v="1168.78"/>
    <n v="1148.1500000000001"/>
    <n v="1513.72"/>
    <n v="0"/>
    <n v="0"/>
    <n v="855.28"/>
    <n v="1168.78"/>
    <n v="1148.1500000000001"/>
    <n v="1513.7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52"/>
    <n v="722.41"/>
    <n v="722.41"/>
    <n v="0"/>
    <n v="0"/>
    <n v="0"/>
    <m/>
    <m/>
    <m/>
    <m/>
    <m/>
    <m/>
    <m/>
    <m/>
    <m/>
    <m/>
    <m/>
    <m/>
    <s v="AX2"/>
    <s v="MAR"/>
    <s v="F"/>
    <m/>
    <s v="S"/>
    <s v="33D15H"/>
    <n v="680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2"/>
    <s v="E"/>
    <s v="(AX2)-MXLZC-(MAR)"/>
    <s v="39D9H"/>
    <n v="1"/>
    <s v="DR"/>
    <s v="D"/>
    <s v="Y"/>
    <s v="Y"/>
    <x v="5"/>
    <s v="FUZHOU, FUJIAN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39.02"/>
    <n v="1298.8"/>
    <n v="1277.73"/>
    <n v="1628.23"/>
    <n v="0"/>
    <n v="0"/>
    <n v="939.02"/>
    <n v="1298.8"/>
    <n v="1277.73"/>
    <n v="1628.23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2"/>
    <s v="MAR"/>
    <s v="F"/>
    <m/>
    <s v="S"/>
    <s v="37D15H"/>
    <n v="782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00002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2"/>
    <s v="E"/>
    <s v="(AX2)-MXLZC-(MAR)"/>
    <s v="40D10H"/>
    <n v="1"/>
    <s v="DR"/>
    <s v="D"/>
    <s v="Y"/>
    <s v="Y"/>
    <x v="6"/>
    <s v="GAOLAN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8.07000000000005"/>
    <n v="798.72"/>
    <n v="963.66"/>
    <n v="1124"/>
    <n v="0"/>
    <n v="0"/>
    <n v="648.07000000000005"/>
    <n v="798.72"/>
    <n v="963.66"/>
    <n v="1124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8D17H"/>
    <n v="814"/>
    <s v="2018-09-29"/>
    <s v="Historical averaged cost."/>
    <n v="110.87472"/>
    <n v="166.13449"/>
    <n v="166.13449"/>
    <n v="183.10584"/>
    <n v="0"/>
    <n v="0"/>
    <n v="127.40606"/>
    <n v="191.10909000000001"/>
    <n v="191.10909000000001"/>
    <n v="203.8497000000000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345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2D13H"/>
    <n v="2"/>
    <s v="DR"/>
    <s v="D"/>
    <s v="Y"/>
    <s v="Y"/>
    <x v="6"/>
    <s v="G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5.23"/>
    <n v="957.82"/>
    <n v="1122.42"/>
    <n v="1266.1600000000001"/>
    <n v="0"/>
    <n v="0"/>
    <n v="795.23"/>
    <n v="957.82"/>
    <n v="1122.42"/>
    <n v="1266.1600000000001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19H"/>
    <n v="884"/>
    <s v="2018-09-29"/>
    <s v="Historical averaged cost."/>
    <n v="152.66703000000001"/>
    <n v="230.55654000000001"/>
    <n v="230.55654000000001"/>
    <n v="270.17982999999998"/>
    <n v="0"/>
    <n v="0"/>
    <n v="104.47297"/>
    <n v="155.43539000000001"/>
    <n v="155.43539000000001"/>
    <n v="166.90194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345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8D5H"/>
    <n v="3"/>
    <s v="DR"/>
    <s v="D"/>
    <s v="Y"/>
    <s v="Y"/>
    <x v="6"/>
    <s v="G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6.12"/>
    <n v="968.02"/>
    <n v="1133.17"/>
    <n v="1317"/>
    <n v="0"/>
    <n v="0"/>
    <n v="766.12"/>
    <n v="968.02"/>
    <n v="1133.17"/>
    <n v="1317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6D11H"/>
    <n v="797"/>
    <s v="2018-09-29"/>
    <s v="Historical averaged cost."/>
    <n v="152.66703000000001"/>
    <n v="230.55654000000001"/>
    <n v="230.55654000000001"/>
    <n v="270.17982999999998"/>
    <n v="0"/>
    <n v="0"/>
    <n v="104.47297"/>
    <n v="155.43539000000001"/>
    <n v="155.43539000000001"/>
    <n v="166.90194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345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8D5H"/>
    <n v="1"/>
    <s v="DR"/>
    <s v="D"/>
    <s v="Y"/>
    <s v="Y"/>
    <x v="6"/>
    <s v="G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4.13"/>
    <n v="823.31"/>
    <n v="988.47"/>
    <n v="1167.67"/>
    <n v="0"/>
    <n v="0"/>
    <n v="664.13"/>
    <n v="823.31"/>
    <n v="988.47"/>
    <n v="1167.67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6D11H"/>
    <n v="782"/>
    <s v="2018-09-29"/>
    <s v="Historical averaged cost."/>
    <n v="152.66703000000001"/>
    <n v="230.55654000000001"/>
    <n v="230.55654000000001"/>
    <n v="270.17982999999998"/>
    <n v="0"/>
    <n v="0"/>
    <n v="104.47297"/>
    <n v="155.43539000000001"/>
    <n v="155.43539000000001"/>
    <n v="166.90194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345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17H"/>
    <n v="1"/>
    <s v="DR"/>
    <s v="D"/>
    <s v="Y"/>
    <s v="Y"/>
    <x v="6"/>
    <s v="GAOLAN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0.08000000000004"/>
    <n v="762.75"/>
    <n v="927.36"/>
    <n v="1107.19"/>
    <n v="0"/>
    <n v="0"/>
    <n v="610.08000000000004"/>
    <n v="762.75"/>
    <n v="927.36"/>
    <n v="1107.19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24H"/>
    <n v="873"/>
    <s v="2018-09-29"/>
    <s v="Historical averaged cost."/>
    <n v="88.532589999999999"/>
    <n v="132.29938999999999"/>
    <n v="132.29938999999999"/>
    <n v="162.43816000000001"/>
    <n v="0"/>
    <n v="0"/>
    <n v="164.35382000000001"/>
    <n v="239.52339000000001"/>
    <n v="239.52339000000001"/>
    <n v="254.81211999999999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345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13H"/>
    <n v="2"/>
    <s v="DR"/>
    <s v="D"/>
    <s v="Y"/>
    <s v="Y"/>
    <x v="6"/>
    <s v="G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4.34"/>
    <n v="776.92"/>
    <n v="941.53"/>
    <n v="1127.03"/>
    <n v="0"/>
    <n v="0"/>
    <n v="614.34"/>
    <n v="776.92"/>
    <n v="941.53"/>
    <n v="1127.03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19H"/>
    <n v="884"/>
    <s v="2018-09-29"/>
    <s v="Historical averaged cost."/>
    <n v="152.66703000000001"/>
    <n v="230.55654000000001"/>
    <n v="230.55654000000001"/>
    <n v="270.17982999999998"/>
    <n v="0"/>
    <n v="0"/>
    <n v="104.47297"/>
    <n v="155.43539000000001"/>
    <n v="155.43539000000001"/>
    <n v="166.9019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345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8D0H"/>
    <n v="3"/>
    <s v="DR"/>
    <s v="D"/>
    <s v="Y"/>
    <s v="Y"/>
    <x v="7"/>
    <s v="GAOMING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78.95"/>
    <n v="908.13"/>
    <n v="1290.5999999999999"/>
    <n v="1261.31"/>
    <n v="0"/>
    <n v="0"/>
    <n v="978.95"/>
    <n v="908.13"/>
    <n v="1290.5999999999999"/>
    <n v="1261.31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6D6H"/>
    <n v="797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016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8D0H"/>
    <n v="1"/>
    <s v="DR"/>
    <s v="D"/>
    <s v="Y"/>
    <s v="Y"/>
    <x v="7"/>
    <s v="GAOMING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6.97"/>
    <n v="763.43"/>
    <n v="1145.8900000000001"/>
    <n v="1111.98"/>
    <n v="0"/>
    <n v="0"/>
    <n v="876.97"/>
    <n v="763.43"/>
    <n v="1145.8900000000001"/>
    <n v="1111.98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6D6H"/>
    <n v="782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016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8H"/>
    <n v="2"/>
    <s v="DR"/>
    <s v="D"/>
    <s v="Y"/>
    <s v="Y"/>
    <x v="7"/>
    <s v="GAOMING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5.77"/>
    <n v="714.96"/>
    <n v="1096.98"/>
    <n v="1068.1099999999999"/>
    <n v="0"/>
    <n v="0"/>
    <n v="825.77"/>
    <n v="714.96"/>
    <n v="1096.98"/>
    <n v="1068.1099999999999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14H"/>
    <n v="884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016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9D14H"/>
    <n v="1"/>
    <s v="DR"/>
    <s v="D"/>
    <s v="Y"/>
    <s v="Y"/>
    <x v="7"/>
    <s v="GAOMING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7.97"/>
    <n v="703.17"/>
    <n v="1085.4100000000001"/>
    <n v="1031.3699999999999"/>
    <n v="0"/>
    <n v="0"/>
    <n v="837.97"/>
    <n v="703.17"/>
    <n v="1085.4100000000001"/>
    <n v="1031.3699999999999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7D21H"/>
    <n v="814"/>
    <s v="2018-09-29"/>
    <s v="Historical averaged cost."/>
    <n v="110.87472"/>
    <n v="166.13449"/>
    <n v="166.13449"/>
    <n v="183.10584"/>
    <n v="0"/>
    <n v="0"/>
    <n v="53.510550000000002"/>
    <n v="82.813940000000002"/>
    <n v="82.813940000000002"/>
    <n v="82.813940000000002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016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2D8H"/>
    <n v="2"/>
    <s v="DR"/>
    <s v="D"/>
    <s v="Y"/>
    <s v="Y"/>
    <x v="7"/>
    <s v="GAOMING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06.67"/>
    <n v="895.85"/>
    <n v="1277.8800000000001"/>
    <n v="1207.24"/>
    <n v="0"/>
    <n v="0"/>
    <n v="1006.67"/>
    <n v="895.85"/>
    <n v="1277.8800000000001"/>
    <n v="1207.24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14H"/>
    <n v="884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016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17H"/>
    <n v="1"/>
    <s v="DR"/>
    <s v="D"/>
    <s v="Y"/>
    <s v="Y"/>
    <x v="7"/>
    <s v="GAOMING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7.82"/>
    <n v="701.59"/>
    <n v="1083.51"/>
    <n v="1046.4100000000001"/>
    <n v="0"/>
    <n v="0"/>
    <n v="817.82"/>
    <n v="701.59"/>
    <n v="1083.51"/>
    <n v="1046.4100000000001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24H"/>
    <n v="873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016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PN2)-TWKHH-(MD3)-KRPUS-(AX2)-MXLZC-(MAR)"/>
    <s v="54D19H"/>
    <n v="1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45.3"/>
    <n v="1212.07"/>
    <n v="1220.53"/>
    <n v="1372.81"/>
    <n v="0"/>
    <n v="0"/>
    <n v="945.3"/>
    <n v="1212.07"/>
    <n v="1220.53"/>
    <n v="1372.81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PN2"/>
    <s v="MAR"/>
    <s v="F"/>
    <m/>
    <s v="S"/>
    <s v="53D2H"/>
    <n v="1162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432.26275900000002"/>
    <n v="508.10896129999998"/>
    <n v="508.10896129999998"/>
    <n v="510.42095929999999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5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JS2)-HKHKG-(AX1)-MXLZC-(MAR)"/>
    <s v="55D18H"/>
    <n v="2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66.45"/>
    <n v="1232.3699999999999"/>
    <n v="1240.72"/>
    <n v="1389.81"/>
    <n v="0"/>
    <n v="0"/>
    <n v="966.45"/>
    <n v="1232.3699999999999"/>
    <n v="1240.72"/>
    <n v="1389.81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JS2"/>
    <s v="MAR"/>
    <s v="F"/>
    <m/>
    <s v="S"/>
    <s v="54D0H"/>
    <n v="1208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452.01802974999998"/>
    <n v="526.32454461999998"/>
    <n v="526.32454461999998"/>
    <n v="524.18782925999994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6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JS2)-HKHKG-(MD2)-KRPUS-(AX1)-MXZLO-(MAR)"/>
    <s v="55D18H"/>
    <n v="1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9.22"/>
    <n v="1198.47"/>
    <n v="1206.82"/>
    <n v="1397.67"/>
    <n v="0"/>
    <n v="0"/>
    <n v="889.22"/>
    <n v="1198.47"/>
    <n v="1206.82"/>
    <n v="1397.67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JS2"/>
    <s v="MAR"/>
    <s v="F"/>
    <m/>
    <s v="S"/>
    <s v="54D0H"/>
    <n v="1208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374.78774375"/>
    <n v="492.42832722000003"/>
    <n v="492.42832722000003"/>
    <n v="532.05161185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JS2)-HKHKG-(AX1)-MXZLO-(MAR)"/>
    <s v="55D18H"/>
    <n v="2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5.56"/>
    <n v="1051.47"/>
    <n v="1059.82"/>
    <n v="1250.67"/>
    <n v="0"/>
    <n v="0"/>
    <n v="785.56"/>
    <n v="1051.47"/>
    <n v="1059.82"/>
    <n v="1250.67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JS2"/>
    <s v="MAR"/>
    <s v="F"/>
    <m/>
    <s v="S"/>
    <s v="54D0H"/>
    <n v="1208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271.12202975000002"/>
    <n v="345.42854462000003"/>
    <n v="345.42854462000003"/>
    <n v="385.05182925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7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PN2)-TWKHH-(MD3)-KRPUS-(AX1)-MXLZC-(MAR)"/>
    <s v="54D19H"/>
    <n v="1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18.72"/>
    <n v="1266.0899999999999"/>
    <n v="1274.55"/>
    <n v="1382.75"/>
    <n v="0"/>
    <n v="0"/>
    <n v="1018.72"/>
    <n v="1266.0899999999999"/>
    <n v="1274.55"/>
    <n v="1382.75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PN2"/>
    <s v="MAR"/>
    <s v="F"/>
    <m/>
    <s v="S"/>
    <s v="53D2H"/>
    <n v="1162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505.68600199999997"/>
    <n v="562.12425459999997"/>
    <n v="562.12425459999997"/>
    <n v="520.36425459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PN2)-TWKHH-(MD3)-KRPUS-(AX1)-MXZLO-(MAR)"/>
    <s v="54D19H"/>
    <n v="1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7.82"/>
    <n v="1085.19"/>
    <n v="1093.6500000000001"/>
    <n v="1243.6199999999999"/>
    <n v="0"/>
    <n v="0"/>
    <n v="837.82"/>
    <n v="1085.19"/>
    <n v="1093.6500000000001"/>
    <n v="1243.6199999999999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PN2"/>
    <s v="MAR"/>
    <s v="F"/>
    <m/>
    <s v="S"/>
    <s v="53D2H"/>
    <n v="1162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324.79000200000002"/>
    <n v="381.22825460000001"/>
    <n v="381.22825460000001"/>
    <n v="381.22825460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2"/>
    <s v="E"/>
    <s v="(JS2)-HKHKG-(AX2)-MXLZC-(MAR)"/>
    <s v="55D18H"/>
    <n v="2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2.35"/>
    <n v="1108.26"/>
    <n v="1116.6199999999999"/>
    <n v="1307.46"/>
    <n v="0"/>
    <n v="0"/>
    <n v="842.35"/>
    <n v="1108.26"/>
    <n v="1116.6199999999999"/>
    <n v="1307.46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JS2"/>
    <s v="MAR"/>
    <s v="F"/>
    <m/>
    <s v="S"/>
    <s v="54D0H"/>
    <n v="1208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327.91602975000001"/>
    <n v="402.22254462000001"/>
    <n v="402.22254462000001"/>
    <n v="441.84582926000002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8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2"/>
    <s v="E"/>
    <s v="(JS2)-HKHKG-(MD2)-KRPUS-(AX2)-MXLZC-(MAR)"/>
    <s v="55D18H"/>
    <n v="1"/>
    <s v="DR"/>
    <s v="D"/>
    <s v="Y"/>
    <s v="Y"/>
    <x v="8"/>
    <s v="HO CHI MINH"/>
    <x v="12"/>
    <s v="CAI MEP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96.69"/>
    <n v="1325.35"/>
    <n v="1333.7"/>
    <n v="1526.86"/>
    <n v="0"/>
    <n v="0"/>
    <n v="996.69"/>
    <n v="1325.35"/>
    <n v="1333.7"/>
    <n v="1526.86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JS2"/>
    <s v="MAR"/>
    <s v="F"/>
    <m/>
    <s v="S"/>
    <s v="54D0H"/>
    <n v="1208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62.893"/>
    <n v="162.893"/>
    <n v="162.893"/>
    <n v="149.82300000000001"/>
    <n v="0"/>
    <n v="0"/>
    <n v="0"/>
    <n v="0"/>
    <n v="0"/>
    <n v="0"/>
    <n v="0"/>
    <n v="0"/>
    <n v="482.26050075000001"/>
    <n v="619.30903392000005"/>
    <n v="619.30903392000005"/>
    <n v="661.24431656000002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6490004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AX1)-MXZLO-(MAR)"/>
    <s v="40D11H"/>
    <n v="2"/>
    <s v="DR"/>
    <s v="D"/>
    <s v="Y"/>
    <s v="Y"/>
    <x v="9"/>
    <s v="HONG K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6.86"/>
    <n v="863.9"/>
    <n v="860.68"/>
    <n v="1098.47"/>
    <n v="0"/>
    <n v="0"/>
    <n v="586.86"/>
    <n v="863.9"/>
    <n v="860.68"/>
    <n v="1098.47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AX1"/>
    <s v="MAR"/>
    <m/>
    <m/>
    <s v="S"/>
    <s v="38D23H"/>
    <n v="884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100009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1"/>
    <s v="E"/>
    <s v="(AX1)-MXLZC-(MAR)"/>
    <s v="40D11H"/>
    <n v="2"/>
    <s v="DR"/>
    <s v="D"/>
    <s v="Y"/>
    <s v="Y"/>
    <x v="9"/>
    <s v="HONG K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76"/>
    <n v="1044.79"/>
    <n v="1041.57"/>
    <n v="1237.6099999999999"/>
    <n v="0"/>
    <n v="0"/>
    <n v="767.76"/>
    <n v="1044.79"/>
    <n v="1041.57"/>
    <n v="1237.6099999999999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AX1"/>
    <s v="MAR"/>
    <m/>
    <m/>
    <s v="S"/>
    <s v="38D23H"/>
    <n v="884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100010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2"/>
    <s v="E"/>
    <s v="(AX2)-MXLZC-(MAR)"/>
    <s v="36D3H"/>
    <n v="1"/>
    <s v="DR"/>
    <s v="D"/>
    <s v="Y"/>
    <s v="Y"/>
    <x v="9"/>
    <s v="HONG K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05999999999995"/>
    <n v="912.37"/>
    <n v="909.59"/>
    <n v="1142.3499999999999"/>
    <n v="0"/>
    <n v="0"/>
    <n v="638.05999999999995"/>
    <n v="912.37"/>
    <n v="909.59"/>
    <n v="1142.3499999999999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AX2"/>
    <s v="MAR"/>
    <m/>
    <m/>
    <s v="S"/>
    <s v="34D15H"/>
    <n v="782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100008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2"/>
    <s v="E"/>
    <s v="(CSW)-KRPUS-(AX2)-MXLZC-(MAR)"/>
    <s v="36D3H"/>
    <n v="3"/>
    <s v="DR"/>
    <s v="D"/>
    <s v="Y"/>
    <s v="Y"/>
    <x v="9"/>
    <s v="HONG K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0.05"/>
    <n v="1057.07"/>
    <n v="1054.29"/>
    <n v="1291.67"/>
    <n v="0"/>
    <n v="0"/>
    <n v="740.05"/>
    <n v="1057.07"/>
    <n v="1054.29"/>
    <n v="1291.67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CSW"/>
    <s v="MAR"/>
    <m/>
    <m/>
    <s v="T"/>
    <s v="34D15H"/>
    <n v="797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100011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1"/>
    <s v="E"/>
    <s v="(AX1)-MXZLO-(MAR)"/>
    <s v="41D17H"/>
    <n v="2"/>
    <s v="DR"/>
    <s v="D"/>
    <s v="Y"/>
    <s v="Y"/>
    <x v="10"/>
    <s v="HUANGP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7.65"/>
    <n v="807.71"/>
    <n v="951.92"/>
    <n v="1385.49"/>
    <n v="0"/>
    <n v="0"/>
    <n v="717.65"/>
    <n v="807.71"/>
    <n v="951.92"/>
    <n v="1385.4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39D23H"/>
    <n v="884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769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0D21H"/>
    <n v="1"/>
    <s v="DR"/>
    <s v="D"/>
    <s v="Y"/>
    <s v="Y"/>
    <x v="10"/>
    <s v="HUANGPU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2.89"/>
    <n v="769.17"/>
    <n v="913.48"/>
    <n v="1340.77"/>
    <n v="0"/>
    <n v="0"/>
    <n v="692.89"/>
    <n v="769.17"/>
    <n v="913.48"/>
    <n v="1340.77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39D4H"/>
    <n v="873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769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7D9H"/>
    <n v="1"/>
    <s v="DR"/>
    <s v="D"/>
    <s v="Y"/>
    <s v="Y"/>
    <x v="10"/>
    <s v="HUANGP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45"/>
    <n v="854.11"/>
    <n v="998.86"/>
    <n v="1426.13"/>
    <n v="0"/>
    <n v="0"/>
    <n v="767.45"/>
    <n v="854.11"/>
    <n v="998.86"/>
    <n v="1426.13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5D15H"/>
    <n v="782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769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7D9H"/>
    <n v="3"/>
    <s v="DR"/>
    <s v="D"/>
    <s v="Y"/>
    <s v="Y"/>
    <x v="10"/>
    <s v="HUANGP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9.43"/>
    <n v="998.81"/>
    <n v="1143.56"/>
    <n v="1575.46"/>
    <n v="0"/>
    <n v="0"/>
    <n v="869.43"/>
    <n v="998.81"/>
    <n v="1143.56"/>
    <n v="1575.46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5D15H"/>
    <n v="797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769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1D17H"/>
    <n v="2"/>
    <s v="DR"/>
    <s v="D"/>
    <s v="Y"/>
    <s v="Y"/>
    <x v="10"/>
    <s v="HUANGP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8.55"/>
    <n v="988.61"/>
    <n v="1132.81"/>
    <n v="1524.62"/>
    <n v="0"/>
    <n v="0"/>
    <n v="898.55"/>
    <n v="988.61"/>
    <n v="1132.81"/>
    <n v="1524.62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39D23H"/>
    <n v="884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769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40D6H"/>
    <n v="1"/>
    <s v="DR"/>
    <s v="D"/>
    <s v="Y"/>
    <s v="Y"/>
    <x v="10"/>
    <s v="HUANGPU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0.68"/>
    <n v="805.48"/>
    <n v="949.9"/>
    <n v="1360.21"/>
    <n v="0"/>
    <n v="0"/>
    <n v="740.68"/>
    <n v="805.48"/>
    <n v="949.9"/>
    <n v="1360.21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8D13H"/>
    <n v="814"/>
    <s v="2018-09-29"/>
    <s v="Historical averaged cost."/>
    <n v="110.87472"/>
    <n v="166.13449"/>
    <n v="166.13449"/>
    <n v="183.10584"/>
    <n v="0"/>
    <n v="0"/>
    <n v="36.31073"/>
    <n v="61.154910000000001"/>
    <n v="61.154910000000001"/>
    <n v="76.443640000000002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769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JID)-SGSIN-(MD2)-KRPUS-(AX2)-MXLZC-(MAR)"/>
    <s v="52D2H"/>
    <n v="3"/>
    <s v="DR"/>
    <s v="D"/>
    <s v="Y"/>
    <s v="Y"/>
    <x v="11"/>
    <s v="JAKARTA"/>
    <x v="13"/>
    <s v="JAKART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20.8"/>
    <n v="1381.99"/>
    <n v="1331.26"/>
    <n v="1489.9"/>
    <n v="0"/>
    <n v="0"/>
    <n v="920.8"/>
    <n v="1381.99"/>
    <n v="1331.26"/>
    <n v="1489.9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JID"/>
    <s v="MAR"/>
    <m/>
    <m/>
    <s v="T"/>
    <s v="50D14H"/>
    <n v="1161"/>
    <s v="2018-09-29"/>
    <s v="Historical averaged cost."/>
    <n v="84.396000000000001"/>
    <n v="126.595"/>
    <n v="126.595"/>
    <n v="157.715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370006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1"/>
    <s v="E"/>
    <s v="(IPS)-KRPUS-(AX1)-MXLZC-(MAR)"/>
    <s v="45D4H"/>
    <n v="1"/>
    <s v="DR"/>
    <s v="D"/>
    <s v="Y"/>
    <s v="Y"/>
    <x v="11"/>
    <s v="JAKARTA"/>
    <x v="13"/>
    <s v="JAKART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22.96"/>
    <n v="1382.59"/>
    <n v="1332.63"/>
    <n v="1444.14"/>
    <n v="0"/>
    <n v="0"/>
    <n v="922.96"/>
    <n v="1382.59"/>
    <n v="1332.63"/>
    <n v="1444.14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IPS"/>
    <s v="MAR"/>
    <m/>
    <m/>
    <s v="S"/>
    <s v="43D16H"/>
    <n v="1014"/>
    <s v="2018-09-29"/>
    <s v="Historical averaged cost."/>
    <n v="83"/>
    <n v="124.5"/>
    <n v="124.5"/>
    <n v="155.62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98.160053"/>
    <n v="564.78917524999997"/>
    <n v="564.78917524999997"/>
    <n v="528.79583179999997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370002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1"/>
    <s v="E"/>
    <s v="(IPS)-KRPUS-(AX1)-MXZLO-(MAR)"/>
    <s v="45D4H"/>
    <n v="1"/>
    <s v="DR"/>
    <s v="D"/>
    <s v="Y"/>
    <s v="Y"/>
    <x v="11"/>
    <s v="JAKARTA"/>
    <x v="13"/>
    <s v="JAKART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2.07"/>
    <n v="1201.69"/>
    <n v="1151.73"/>
    <n v="1305"/>
    <n v="0"/>
    <n v="0"/>
    <n v="742.07"/>
    <n v="1201.69"/>
    <n v="1151.73"/>
    <n v="1305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IPS"/>
    <s v="MAR"/>
    <m/>
    <m/>
    <s v="S"/>
    <s v="43D16H"/>
    <n v="1014"/>
    <s v="2018-09-29"/>
    <s v="Historical averaged cost."/>
    <n v="83"/>
    <n v="124.5"/>
    <n v="124.5"/>
    <n v="155.62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17.26405299999999"/>
    <n v="383.89317525000001"/>
    <n v="383.89317525000001"/>
    <n v="389.6598318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370001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2"/>
    <s v="E"/>
    <s v="(TI1)-SGSIN-(MD2)-KRPUS-(AX2)-MXZLO-(MAR)"/>
    <s v="46D12H"/>
    <n v="3"/>
    <s v="DR"/>
    <s v="D"/>
    <s v="Y"/>
    <s v="Y"/>
    <x v="11"/>
    <s v="JAKARTA"/>
    <x v="13"/>
    <s v="JAKART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8.84"/>
    <n v="1281.78"/>
    <n v="1231.5999999999999"/>
    <n v="1380.38"/>
    <n v="0"/>
    <n v="0"/>
    <n v="828.84"/>
    <n v="1281.78"/>
    <n v="1231.5999999999999"/>
    <n v="1380.38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TI1"/>
    <s v="MAR"/>
    <m/>
    <m/>
    <s v="T"/>
    <s v="45D0H"/>
    <n v="1064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09.53446614000001"/>
    <n v="472.27648443999999"/>
    <n v="472.27648443999999"/>
    <n v="474.58848244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370005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2"/>
    <s v="E"/>
    <s v="(IPS)-KRPUS-(AX2)-MXLZC-(MAR)"/>
    <s v="52D4H"/>
    <n v="1"/>
    <s v="DR"/>
    <s v="D"/>
    <s v="Y"/>
    <s v="Y"/>
    <x v="11"/>
    <s v="JAKARTA"/>
    <x v="13"/>
    <s v="JAKART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6.18"/>
    <n v="1269.5999999999999"/>
    <n v="1218.8699999999999"/>
    <n v="1383.28"/>
    <n v="0"/>
    <n v="0"/>
    <n v="806.18"/>
    <n v="1269.5999999999999"/>
    <n v="1218.8699999999999"/>
    <n v="1383.28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IPS"/>
    <s v="MAR"/>
    <m/>
    <m/>
    <s v="S"/>
    <s v="50D16H"/>
    <n v="1182"/>
    <s v="2018-09-29"/>
    <s v="Historical averaged cost."/>
    <n v="83"/>
    <n v="124.5"/>
    <n v="124.5"/>
    <n v="155.62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1.57936000000001"/>
    <n v="437.24228195000001"/>
    <n v="437.24228195000001"/>
    <n v="445.32093650000002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370003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2"/>
    <s v="E"/>
    <s v="(TI1)-SGSIN-(NX2)-KRPUS-(AX2)-MXLZC-(MAR)"/>
    <s v="46D12H"/>
    <n v="2"/>
    <s v="DR"/>
    <s v="D"/>
    <s v="Y"/>
    <s v="Y"/>
    <x v="11"/>
    <s v="JAKARTA"/>
    <x v="13"/>
    <s v="JAKART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4.1"/>
    <n v="1357.05"/>
    <n v="1306.8699999999999"/>
    <n v="1455.65"/>
    <n v="0"/>
    <n v="0"/>
    <n v="904.1"/>
    <n v="1357.05"/>
    <n v="1306.8699999999999"/>
    <n v="1455.65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TI1"/>
    <s v="MAR"/>
    <m/>
    <m/>
    <s v="S"/>
    <s v="45D0H"/>
    <n v="1064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370004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1"/>
    <s v="E"/>
    <s v="(PS4)-TWKHH-(MD3)-KRPUS-(AX1)-MXLZC-(MAR)"/>
    <s v="56D23H"/>
    <n v="1"/>
    <s v="DR"/>
    <s v="D"/>
    <s v="Y"/>
    <s v="Y"/>
    <x v="12"/>
    <s v="KAOHSI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302.03"/>
    <n v="1522.88"/>
    <n v="1500.05"/>
    <n v="1576.78"/>
    <n v="0"/>
    <n v="0"/>
    <n v="1302.03"/>
    <n v="1522.88"/>
    <n v="1500.05"/>
    <n v="1576.78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5D5H"/>
    <n v="1140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162.893"/>
    <n v="162.893"/>
    <n v="162.893"/>
    <n v="149.82300000000001"/>
    <n v="0"/>
    <n v="0"/>
    <n v="0"/>
    <n v="0"/>
    <n v="0"/>
    <n v="0"/>
    <n v="0"/>
    <n v="0"/>
    <n v="505.68600199999997"/>
    <n v="562.12425459999997"/>
    <n v="562.12425459999997"/>
    <n v="520.36425459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771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2"/>
    <s v="E"/>
    <s v="(PS4)-TWKHH-(MD3)-KRPUS-(AX2)-MXLZC-(MAR)"/>
    <s v="56D23H"/>
    <n v="1"/>
    <s v="DR"/>
    <s v="D"/>
    <s v="Y"/>
    <s v="Y"/>
    <x v="12"/>
    <s v="KAOHSI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228.6099999999999"/>
    <n v="1468.86"/>
    <n v="1446.03"/>
    <n v="1566.84"/>
    <n v="0"/>
    <n v="0"/>
    <n v="1228.6099999999999"/>
    <n v="1468.86"/>
    <n v="1446.03"/>
    <n v="1566.84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5D5H"/>
    <n v="1140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162.893"/>
    <n v="162.893"/>
    <n v="162.893"/>
    <n v="149.82300000000001"/>
    <n v="0"/>
    <n v="0"/>
    <n v="0"/>
    <n v="0"/>
    <n v="0"/>
    <n v="0"/>
    <n v="0"/>
    <n v="0"/>
    <n v="432.26275900000002"/>
    <n v="508.10896129999998"/>
    <n v="508.10896129999998"/>
    <n v="510.42095929999999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7710007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ZLO-(MAR)"/>
    <s v="56D23H"/>
    <n v="1"/>
    <s v="DR"/>
    <s v="D"/>
    <s v="Y"/>
    <s v="Y"/>
    <x v="12"/>
    <s v="KAOHSI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21.1400000000001"/>
    <n v="1341.98"/>
    <n v="1319.15"/>
    <n v="1437.64"/>
    <n v="0"/>
    <n v="0"/>
    <n v="1121.1400000000001"/>
    <n v="1341.98"/>
    <n v="1319.15"/>
    <n v="1437.64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5D5H"/>
    <n v="1140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162.893"/>
    <n v="162.893"/>
    <n v="162.893"/>
    <n v="149.82300000000001"/>
    <n v="0"/>
    <n v="0"/>
    <n v="0"/>
    <n v="0"/>
    <n v="0"/>
    <n v="0"/>
    <n v="0"/>
    <n v="0"/>
    <n v="324.79000200000002"/>
    <n v="381.22825460000001"/>
    <n v="381.22825460000001"/>
    <n v="381.22825460000001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771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MAR)"/>
    <s v="49D23H"/>
    <n v="1"/>
    <s v="DR"/>
    <s v="D"/>
    <s v="Y"/>
    <s v="Y"/>
    <x v="12"/>
    <s v="KAOHSI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1.97"/>
    <n v="1071.6199999999999"/>
    <n v="1049.56"/>
    <n v="1159.23"/>
    <n v="0"/>
    <n v="0"/>
    <n v="911.97"/>
    <n v="1071.6199999999999"/>
    <n v="1049.56"/>
    <n v="1159.23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MAR"/>
    <s v="T"/>
    <m/>
    <s v="S"/>
    <s v="48D5H"/>
    <n v="970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771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2"/>
    <s v="E"/>
    <s v="(TE1)-SGSIN-(AGX)-KRPUS-(AX2)-MXLZC-(MAR)"/>
    <s v="67D18H"/>
    <n v="2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5.36"/>
    <n v="995.97"/>
    <n v="961.68"/>
    <n v="4974.38"/>
    <n v="0"/>
    <n v="0"/>
    <n v="745.36"/>
    <n v="995.97"/>
    <n v="961.68"/>
    <n v="4974.38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66D6H"/>
    <n v="1562"/>
    <s v="2018-09-29"/>
    <s v="Historical averaged cost."/>
    <n v="51.783999999999999"/>
    <n v="88.95"/>
    <n v="88.9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2"/>
    <s v="E"/>
    <s v="(TE1)-SGSIN-(NX2)-KRPUS-(AX2)-MXLZC-(MAR)"/>
    <s v="53D18H"/>
    <n v="2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0.96"/>
    <n v="1107.47"/>
    <n v="1068.06"/>
    <n v="5148.8"/>
    <n v="0"/>
    <n v="0"/>
    <n v="820.96"/>
    <n v="1107.47"/>
    <n v="1068.06"/>
    <n v="5148.8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2D6H"/>
    <n v="1226"/>
    <s v="2018-09-29"/>
    <s v="Historical averaged cost."/>
    <n v="51.783999999999999"/>
    <n v="88.13"/>
    <n v="88.9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1"/>
    <s v="E"/>
    <s v="(TE1)-SGSIN-(MD3)-KRPUS-(AX1)-MXZLO-(MAR)"/>
    <s v="60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29999999999995"/>
    <n v="869.09"/>
    <n v="834.8"/>
    <n v="4845.1899999999996"/>
    <n v="0"/>
    <n v="0"/>
    <n v="638.29999999999995"/>
    <n v="869.09"/>
    <n v="834.8"/>
    <n v="4845.1899999999996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9D6H"/>
    <n v="1394"/>
    <s v="2018-09-29"/>
    <s v="Historical averaged cost."/>
    <n v="52.204000000000001"/>
    <n v="88.95"/>
    <n v="88.9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2"/>
    <s v="E"/>
    <s v="(TE1)-SGSIN-(MD3)-KRPUS-(AX2)-MXLZC-(MAR)"/>
    <s v="53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0.96"/>
    <n v="1108.29"/>
    <n v="1067.29"/>
    <n v="5148.8"/>
    <n v="0"/>
    <n v="0"/>
    <n v="820.96"/>
    <n v="1108.29"/>
    <n v="1067.29"/>
    <n v="5148.8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2D6H"/>
    <n v="1226"/>
    <s v="2018-09-29"/>
    <s v="Historical averaged cost."/>
    <n v="51.783999999999999"/>
    <n v="88.95"/>
    <n v="88.13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s v="Y"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1"/>
    <s v="E"/>
    <s v="(TE1)-SGSIN-(AGX)-KRPUS-(AX1)-MXLZC-(MAR)"/>
    <s v="67D18H"/>
    <n v="2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9.2"/>
    <n v="1049.17"/>
    <n v="1015.69"/>
    <n v="4984.33"/>
    <n v="0"/>
    <n v="0"/>
    <n v="819.2"/>
    <n v="1049.17"/>
    <n v="1015.69"/>
    <n v="4984.33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66D6H"/>
    <n v="1562"/>
    <s v="2018-09-29"/>
    <s v="Historical averaged cost."/>
    <n v="52.204000000000001"/>
    <n v="88.13"/>
    <n v="88.9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s v="Y"/>
    <m/>
    <s v="Y"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2"/>
    <s v="E"/>
    <s v="(TE1)-SGSIN-(MD2)-KRPUS-(AX2)-MXLZC-(MAR)"/>
    <s v="60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5.36"/>
    <n v="995.15"/>
    <n v="960.91"/>
    <n v="4974.38"/>
    <n v="0"/>
    <n v="0"/>
    <n v="745.36"/>
    <n v="995.15"/>
    <n v="960.91"/>
    <n v="4974.38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9D6H"/>
    <n v="1394"/>
    <s v="2018-09-29"/>
    <s v="Historical averaged cost."/>
    <n v="51.783999999999999"/>
    <n v="88.13"/>
    <n v="88.13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1"/>
    <s v="E"/>
    <s v="(TE1)-SGSIN-(CSW)-KRPUS-(AX1)-MXZLO-(MAR)"/>
    <s v="60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8.56"/>
    <n v="939.18"/>
    <n v="904.88"/>
    <n v="4917.59"/>
    <n v="0"/>
    <n v="0"/>
    <n v="688.56"/>
    <n v="939.18"/>
    <n v="904.88"/>
    <n v="4917.59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9D6H"/>
    <n v="1394"/>
    <s v="2018-09-29"/>
    <s v="Historical averaged cost."/>
    <n v="51.783999999999999"/>
    <n v="88.95"/>
    <n v="88.9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28.00446613999998"/>
    <n v="490.74648444000002"/>
    <n v="490.74648444000002"/>
    <n v="493.058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2"/>
    <s v="E"/>
    <s v="(TE1)-SGSIN-(CSW)-KRPUS-(AX2)-MXLZC-(MAR)"/>
    <s v="53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9.02"/>
    <n v="1035.0899999999999"/>
    <n v="994.9"/>
    <n v="5078.7299999999996"/>
    <n v="0"/>
    <n v="0"/>
    <n v="769.02"/>
    <n v="1035.0899999999999"/>
    <n v="994.9"/>
    <n v="5078.7299999999996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2D6H"/>
    <n v="1226"/>
    <s v="2018-09-29"/>
    <s v="Historical averaged cost."/>
    <n v="52.204000000000001"/>
    <n v="88.13"/>
    <n v="88.13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32.44132314000001"/>
    <n v="475.15599114000003"/>
    <n v="475.15599114000003"/>
    <n v="479.77998714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s v="Y"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1"/>
    <s v="E"/>
    <s v="(TE1)-SGSIN-(MD3)-KRPUS-(AX1)-MXLZC-(MAR)"/>
    <s v="60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8.78"/>
    <n v="1049.17"/>
    <n v="1014.92"/>
    <n v="4984.33"/>
    <n v="0"/>
    <n v="0"/>
    <n v="818.78"/>
    <n v="1049.17"/>
    <n v="1014.92"/>
    <n v="4984.33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9D6H"/>
    <n v="1394"/>
    <s v="2018-09-29"/>
    <s v="Historical averaged cost."/>
    <n v="51.783999999999999"/>
    <n v="88.13"/>
    <n v="88.13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1"/>
    <s v="E"/>
    <s v="(TE1)-SGSIN-(MD2)-KRPUS-(AX1)-MXZLO-(MAR)"/>
    <s v="60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7.88"/>
    <n v="869.09"/>
    <n v="834.8"/>
    <n v="4845.1899999999996"/>
    <n v="0"/>
    <n v="0"/>
    <n v="637.88"/>
    <n v="869.09"/>
    <n v="834.8"/>
    <n v="4845.1899999999996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9D6H"/>
    <n v="1394"/>
    <s v="2018-09-29"/>
    <s v="Historical averaged cost."/>
    <n v="51.783999999999999"/>
    <n v="88.95"/>
    <n v="88.9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1"/>
    <s v="E"/>
    <s v="(TE1)-SGSIN-(MD2)-KRPUS-(AX1)-MXLZC-(MAR)"/>
    <s v="60D18H"/>
    <n v="1"/>
    <s v="DR"/>
    <s v="D"/>
    <s v="Y"/>
    <s v="Y"/>
    <x v="13"/>
    <s v="KATTUPALLI"/>
    <x v="15"/>
    <s v="KATTUPALL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9.2"/>
    <n v="1049.17"/>
    <n v="1014.92"/>
    <n v="4984.33"/>
    <n v="0"/>
    <n v="0"/>
    <n v="819.2"/>
    <n v="1049.17"/>
    <n v="1014.92"/>
    <n v="4984.33"/>
    <n v="0"/>
    <n v="0"/>
    <s v="INKTP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53.53"/>
    <n v="664.54"/>
    <n v="664.54"/>
    <n v="0"/>
    <n v="0"/>
    <n v="0"/>
    <m/>
    <m/>
    <m/>
    <m/>
    <m/>
    <m/>
    <m/>
    <m/>
    <m/>
    <m/>
    <m/>
    <m/>
    <s v="TE1"/>
    <s v="MAR"/>
    <m/>
    <m/>
    <s v="S"/>
    <s v="59D6H"/>
    <n v="1394"/>
    <s v="2018-09-29"/>
    <s v="Historical averaged cost."/>
    <n v="52.204000000000001"/>
    <n v="88.13"/>
    <n v="88.13"/>
    <n v="53.1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s v="Y"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896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9"/>
    <x v="9"/>
    <x v="0"/>
    <x v="0"/>
    <x v="0"/>
    <m/>
    <m/>
    <m/>
    <m/>
    <m/>
    <m/>
  </r>
  <r>
    <s v="LW"/>
    <s v="LWE"/>
    <s v="LWT"/>
    <s v="LW"/>
    <s v="AX2"/>
    <s v="E"/>
    <s v="(JVH)-TWKHH-(MD3)-KRPUS-(AX2)-MXLZC-(MAR)"/>
    <s v="60D3H"/>
    <n v="1"/>
    <s v="DR"/>
    <s v="D"/>
    <s v="Y"/>
    <s v="Y"/>
    <x v="14"/>
    <s v="KEELUNG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7.61"/>
    <n v="902.04"/>
    <n v="1060.43"/>
    <n v="968.32"/>
    <n v="0"/>
    <n v="0"/>
    <n v="857.61"/>
    <n v="902.04"/>
    <n v="1060.43"/>
    <n v="968.32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m/>
    <m/>
    <s v="S"/>
    <s v="58D15H"/>
    <n v="1170"/>
    <s v="2018-09-29"/>
    <s v="Historical averaged cost."/>
    <n v="70.919120000000007"/>
    <n v="105.61523"/>
    <n v="105.61523"/>
    <n v="105.6152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20.85084799999998"/>
    <n v="483.65486629999998"/>
    <n v="483.65486629999998"/>
    <n v="485.96686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0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JVH)-TWKHH-(MD3)-KRPUS-(AX1)-MXLZC-(MAR)"/>
    <s v="60D3H"/>
    <n v="1"/>
    <s v="DR"/>
    <s v="D"/>
    <s v="Y"/>
    <s v="Y"/>
    <x v="14"/>
    <s v="KEELUNG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31.04"/>
    <n v="956.05"/>
    <n v="1114.44"/>
    <n v="978.26"/>
    <n v="0"/>
    <n v="0"/>
    <n v="931.04"/>
    <n v="956.05"/>
    <n v="1114.44"/>
    <n v="978.26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m/>
    <m/>
    <s v="S"/>
    <s v="58D15H"/>
    <n v="1170"/>
    <s v="2018-09-29"/>
    <s v="Historical averaged cost."/>
    <n v="70.919120000000007"/>
    <n v="105.61523"/>
    <n v="105.61523"/>
    <n v="105.6152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94.274091"/>
    <n v="537.67015960000003"/>
    <n v="537.67015960000003"/>
    <n v="495.9101595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0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2"/>
    <s v="E"/>
    <s v="(PS4)-TWKHH-(MD3)-KRPUS-(AX2)-MXLZC-(MAR)"/>
    <s v="55D3H"/>
    <n v="1"/>
    <s v="DR"/>
    <s v="D"/>
    <s v="Y"/>
    <s v="Y"/>
    <x v="14"/>
    <s v="KEELUNG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9.8"/>
    <n v="1053.68"/>
    <n v="1206.02"/>
    <n v="1183.21"/>
    <n v="0"/>
    <n v="0"/>
    <n v="959.8"/>
    <n v="1053.68"/>
    <n v="1206.02"/>
    <n v="1183.21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m/>
    <m/>
    <s v="S"/>
    <s v="53D15H"/>
    <n v="1140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32.26275900000002"/>
    <n v="508.10896129999998"/>
    <n v="508.10896129999998"/>
    <n v="510.42095929999999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00007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MAR)"/>
    <s v="48D3H"/>
    <n v="1"/>
    <s v="DR"/>
    <s v="D"/>
    <s v="Y"/>
    <s v="Y"/>
    <x v="14"/>
    <s v="KEELUNG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3.16"/>
    <n v="656.44"/>
    <n v="809.55"/>
    <n v="775.61"/>
    <n v="0"/>
    <n v="0"/>
    <n v="643.16"/>
    <n v="656.44"/>
    <n v="809.55"/>
    <n v="775.61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MAR"/>
    <m/>
    <m/>
    <s v="S"/>
    <s v="46D15H"/>
    <n v="970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0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JVH)-TWKHH-(MD3)-KRPUS-(AX1)-MXZLO-(MAR)"/>
    <s v="60D3H"/>
    <n v="1"/>
    <s v="DR"/>
    <s v="D"/>
    <s v="Y"/>
    <s v="Y"/>
    <x v="14"/>
    <s v="KEELUNG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0.14"/>
    <n v="775.16"/>
    <n v="933.55"/>
    <n v="839.13"/>
    <n v="0"/>
    <n v="0"/>
    <n v="750.14"/>
    <n v="775.16"/>
    <n v="933.55"/>
    <n v="839.13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m/>
    <m/>
    <s v="S"/>
    <s v="58D15H"/>
    <n v="1170"/>
    <s v="2018-09-29"/>
    <s v="Historical averaged cost."/>
    <n v="70.919120000000007"/>
    <n v="105.61523"/>
    <n v="105.61523"/>
    <n v="105.61523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13.37809099999998"/>
    <n v="356.77415960000002"/>
    <n v="356.77415960000002"/>
    <n v="356.7741596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0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ZLO-(MAR)"/>
    <s v="55D3H"/>
    <n v="1"/>
    <s v="DR"/>
    <s v="D"/>
    <s v="Y"/>
    <s v="Y"/>
    <x v="14"/>
    <s v="KEELUNG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2.32"/>
    <n v="926.8"/>
    <n v="1079.1400000000001"/>
    <n v="1054.02"/>
    <n v="0"/>
    <n v="0"/>
    <n v="852.32"/>
    <n v="926.8"/>
    <n v="1079.1400000000001"/>
    <n v="1054.02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m/>
    <m/>
    <s v="S"/>
    <s v="53D15H"/>
    <n v="1140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24.79000200000002"/>
    <n v="381.22825460000001"/>
    <n v="381.22825460000001"/>
    <n v="381.22825460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0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LZC-(MAR)"/>
    <s v="55D3H"/>
    <n v="1"/>
    <s v="DR"/>
    <s v="D"/>
    <s v="Y"/>
    <s v="Y"/>
    <x v="14"/>
    <s v="KEELUNG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33.22"/>
    <n v="1107.69"/>
    <n v="1260.03"/>
    <n v="1193.1500000000001"/>
    <n v="0"/>
    <n v="0"/>
    <n v="1033.22"/>
    <n v="1107.69"/>
    <n v="1260.03"/>
    <n v="1193.1500000000001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m/>
    <m/>
    <s v="S"/>
    <s v="53D15H"/>
    <n v="1140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05.68600199999997"/>
    <n v="562.12425459999997"/>
    <n v="562.12425459999997"/>
    <n v="520.36425459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0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2"/>
    <s v="E"/>
    <s v="(CSW)-KRPUS-(AX2)-MXLZC-(MAR)"/>
    <s v="37D13H"/>
    <n v="3"/>
    <s v="DR"/>
    <s v="D"/>
    <s v="Y"/>
    <s v="Y"/>
    <x v="15"/>
    <s v="NANSHA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34.49"/>
    <n v="1058.43"/>
    <n v="1259.1600000000001"/>
    <n v="1238.3800000000001"/>
    <n v="0"/>
    <n v="0"/>
    <n v="934.49"/>
    <n v="1058.43"/>
    <n v="1259.1600000000001"/>
    <n v="1238.3800000000001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5D19H"/>
    <n v="797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887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1D17H"/>
    <n v="1"/>
    <s v="DR"/>
    <s v="D"/>
    <s v="Y"/>
    <s v="Y"/>
    <x v="15"/>
    <s v="NANSHA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6.16"/>
    <n v="831.59"/>
    <n v="1031.8900000000001"/>
    <n v="1010.95"/>
    <n v="0"/>
    <n v="0"/>
    <n v="756.16"/>
    <n v="831.59"/>
    <n v="1031.8900000000001"/>
    <n v="1010.95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39D24H"/>
    <n v="861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887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1D21H"/>
    <n v="2"/>
    <s v="DR"/>
    <s v="D"/>
    <s v="Y"/>
    <s v="Y"/>
    <x v="15"/>
    <s v="NANSHA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1.3"/>
    <n v="865.26"/>
    <n v="1065.55"/>
    <n v="1045.18"/>
    <n v="0"/>
    <n v="0"/>
    <n v="781.3"/>
    <n v="865.26"/>
    <n v="1065.55"/>
    <n v="1045.18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3H"/>
    <n v="883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887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1D21H"/>
    <n v="2"/>
    <s v="DR"/>
    <s v="D"/>
    <s v="Y"/>
    <s v="Y"/>
    <x v="15"/>
    <s v="NANSHA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62.2"/>
    <n v="1046.1500000000001"/>
    <n v="1246.44"/>
    <n v="1184.32"/>
    <n v="0"/>
    <n v="0"/>
    <n v="962.2"/>
    <n v="1046.1500000000001"/>
    <n v="1246.44"/>
    <n v="1184.32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3H"/>
    <n v="883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887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40D14H"/>
    <n v="1"/>
    <s v="DR"/>
    <s v="D"/>
    <s v="Y"/>
    <s v="Y"/>
    <x v="15"/>
    <s v="NANSHA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4.27"/>
    <n v="803.1"/>
    <n v="1003.5"/>
    <n v="964.57"/>
    <n v="0"/>
    <n v="0"/>
    <n v="764.27"/>
    <n v="803.1"/>
    <n v="1003.5"/>
    <n v="964.57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8D21H"/>
    <n v="814"/>
    <s v="2018-09-29"/>
    <s v="Historical averaged cost."/>
    <n v="110.87472"/>
    <n v="166.13449"/>
    <n v="166.13449"/>
    <n v="183.10584"/>
    <n v="0"/>
    <n v="0"/>
    <n v="37.71219"/>
    <n v="56.695700000000002"/>
    <n v="56.695700000000002"/>
    <n v="64.59487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887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7D13H"/>
    <n v="1"/>
    <s v="DR"/>
    <s v="D"/>
    <s v="Y"/>
    <s v="Y"/>
    <x v="15"/>
    <s v="NANSHA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2.5"/>
    <n v="913.73"/>
    <n v="1114.46"/>
    <n v="1089.05"/>
    <n v="0"/>
    <n v="0"/>
    <n v="832.5"/>
    <n v="913.73"/>
    <n v="1114.46"/>
    <n v="1089.05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5D19H"/>
    <n v="782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887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TIP)-SGSIN-(MD3)-KRPUS-(AX2)-MXLZC-(MAR)"/>
    <s v="57D23H"/>
    <n v="1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9.67"/>
    <n v="1063.45"/>
    <n v="1003.91"/>
    <n v="5239.49"/>
    <n v="0"/>
    <n v="0"/>
    <n v="919.67"/>
    <n v="1063.45"/>
    <n v="1003.91"/>
    <n v="5239.4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MAR"/>
    <m/>
    <m/>
    <s v="S"/>
    <s v="56D11H"/>
    <n v="1322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1"/>
    <s v="E"/>
    <s v="(CI2)-HKHKG-(CI2)-CNSHA-(AX1)-MXLZC-(MAR)"/>
    <s v="68D17H"/>
    <n v="3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40.99"/>
    <n v="1116.26"/>
    <n v="1063.8"/>
    <n v="5153.62"/>
    <n v="0"/>
    <n v="0"/>
    <n v="940.99"/>
    <n v="1116.26"/>
    <n v="1063.8"/>
    <n v="5153.62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MAR"/>
    <m/>
    <m/>
    <s v="T"/>
    <s v="67D5H"/>
    <n v="153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76.63263118999998"/>
    <n v="704.96094675999996"/>
    <n v="705.65094676000001"/>
    <n v="642.53079662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1"/>
    <s v="E"/>
    <s v="(PS3)-SGSIN-(MD3)-KRPUS-(AX1)-MXZLO-(MAR)"/>
    <s v="61D10H"/>
    <n v="1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"/>
    <n v="815.93"/>
    <n v="762.77"/>
    <n v="4922.96"/>
    <n v="0"/>
    <n v="0"/>
    <n v="731"/>
    <n v="815.93"/>
    <n v="762.77"/>
    <n v="4922.9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MAR"/>
    <m/>
    <m/>
    <s v="S"/>
    <s v="59D22H"/>
    <n v="1401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2"/>
    <s v="E"/>
    <s v="(PS3)-SGSIN-(MD3)-KRPUS-(AX2)-MXLZC-(MAR)"/>
    <s v="54D10H"/>
    <n v="1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4.07"/>
    <n v="1055.1300000000001"/>
    <n v="996.03"/>
    <n v="5226.57"/>
    <n v="0"/>
    <n v="0"/>
    <n v="914.07"/>
    <n v="1055.1300000000001"/>
    <n v="996.03"/>
    <n v="5226.57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MAR"/>
    <m/>
    <m/>
    <s v="S"/>
    <s v="52D22H"/>
    <n v="1233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AGX)-KRPUS-(AX1)-MXZLO-(MAR)"/>
    <s v="57D23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2.2"/>
    <n v="936.57"/>
    <n v="877.03"/>
    <n v="5110.3"/>
    <n v="0"/>
    <n v="0"/>
    <n v="812.2"/>
    <n v="936.57"/>
    <n v="877.03"/>
    <n v="5110.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MAR"/>
    <m/>
    <m/>
    <s v="S"/>
    <s v="56D11H"/>
    <n v="1322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MD2)-KRPUS-(AX1)-MXZLO-(MAR)"/>
    <s v="57D23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2.2"/>
    <n v="936.57"/>
    <n v="877.03"/>
    <n v="5110.3"/>
    <n v="0"/>
    <n v="0"/>
    <n v="812.2"/>
    <n v="936.57"/>
    <n v="877.03"/>
    <n v="5110.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MAR"/>
    <m/>
    <m/>
    <s v="S"/>
    <s v="56D11H"/>
    <n v="1322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1"/>
    <s v="E"/>
    <s v="(PS3)-SGSIN-(MD3)-KRPUS-(AX1)-MXLZC-(MAR)"/>
    <s v="61D10H"/>
    <n v="1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1.89"/>
    <n v="996.82"/>
    <n v="943.67"/>
    <n v="5062.09"/>
    <n v="0"/>
    <n v="0"/>
    <n v="911.89"/>
    <n v="996.82"/>
    <n v="943.67"/>
    <n v="5062.0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MAR"/>
    <m/>
    <m/>
    <s v="S"/>
    <s v="59D22H"/>
    <n v="1401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2"/>
    <s v="E"/>
    <s v="(NCI)-SGSIN-(MD3)-KRPUS-(AX2)-MXZLO-(MAR)"/>
    <s v="53D9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8.09"/>
    <n v="993.82"/>
    <n v="934.83"/>
    <n v="5156.87"/>
    <n v="0"/>
    <n v="0"/>
    <n v="848.09"/>
    <n v="993.82"/>
    <n v="934.83"/>
    <n v="5156.87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NCI"/>
    <s v="MAR"/>
    <m/>
    <m/>
    <s v="S"/>
    <s v="51D21H"/>
    <n v="117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09.53446614000001"/>
    <n v="472.27648443999999"/>
    <n v="472.27648443999999"/>
    <n v="474.58848244000001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1"/>
    <s v="E"/>
    <s v="(NCI)-SGSIN-(MD3)-KRPUS-(AX1)-MXZLO-(MAR)"/>
    <s v="67D9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1.69"/>
    <n v="831.96"/>
    <n v="778.81"/>
    <n v="4931.75"/>
    <n v="0"/>
    <n v="0"/>
    <n v="741.69"/>
    <n v="831.96"/>
    <n v="778.81"/>
    <n v="4931.75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NCI"/>
    <s v="MAR"/>
    <m/>
    <m/>
    <s v="S"/>
    <s v="65D21H"/>
    <n v="1511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2"/>
    <s v="E"/>
    <s v="(CI2)-HKHKG-(CI2)-CNSHA-(AX2)-MXLZC-(MAR)"/>
    <s v="68D17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6.89"/>
    <n v="992.16"/>
    <n v="939.69"/>
    <n v="5071.28"/>
    <n v="0"/>
    <n v="0"/>
    <n v="816.89"/>
    <n v="992.16"/>
    <n v="939.69"/>
    <n v="5071.28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MAR"/>
    <m/>
    <m/>
    <s v="S"/>
    <s v="67D5H"/>
    <n v="153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52.53063119000001"/>
    <n v="580.85894675999998"/>
    <n v="581.54894676000004"/>
    <n v="560.1887966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2"/>
    <s v="E"/>
    <s v="(CI2)-CNSHA-(AX2)-MXLZC-(MAR)"/>
    <s v="68D17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1.2"/>
    <n v="772.16"/>
    <n v="719.69"/>
    <n v="4811.66"/>
    <n v="0"/>
    <n v="0"/>
    <n v="671.2"/>
    <n v="772.16"/>
    <n v="719.69"/>
    <n v="4811.6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MAR"/>
    <m/>
    <m/>
    <s v="S"/>
    <s v="67D5H"/>
    <n v="153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06.83660143999998"/>
    <n v="360.85840214000001"/>
    <n v="361.54840214000001"/>
    <n v="300.56496736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1"/>
    <s v="E"/>
    <s v="(CI2)-CNSHA-(AX1)-MXZLO-(MAR)"/>
    <s v="68D17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4.4"/>
    <n v="715.37"/>
    <n v="662.9"/>
    <n v="4754.8599999999997"/>
    <n v="0"/>
    <n v="0"/>
    <n v="614.4"/>
    <n v="715.37"/>
    <n v="662.9"/>
    <n v="4754.8599999999997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MAR"/>
    <m/>
    <m/>
    <s v="S"/>
    <s v="67D5H"/>
    <n v="153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50.04260144"/>
    <n v="304.06440214000003"/>
    <n v="304.75440214000002"/>
    <n v="243.77096735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1"/>
    <s v="E"/>
    <s v="(CI2)-CNSHA-(AX1)-MXLZC-(MAR)"/>
    <s v="68D17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5.3"/>
    <n v="896.26"/>
    <n v="843.8"/>
    <n v="4894"/>
    <n v="0"/>
    <n v="0"/>
    <n v="795.3"/>
    <n v="896.26"/>
    <n v="843.8"/>
    <n v="489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MAR"/>
    <m/>
    <m/>
    <s v="S"/>
    <s v="67D5H"/>
    <n v="153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30.93860144000001"/>
    <n v="484.96040213999999"/>
    <n v="485.65040213999998"/>
    <n v="382.90696736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1"/>
    <s v="E"/>
    <s v="(TIP)-SGSIN-(MD3)-KRPUS-(AX1)-MXLZC-(MAR)"/>
    <s v="64D23H"/>
    <n v="1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1.89"/>
    <n v="996.82"/>
    <n v="943.67"/>
    <n v="5062.09"/>
    <n v="0"/>
    <n v="0"/>
    <n v="911.89"/>
    <n v="996.82"/>
    <n v="943.67"/>
    <n v="5062.0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MAR"/>
    <m/>
    <m/>
    <s v="S"/>
    <s v="63D11H"/>
    <n v="1490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MD3)-KRPUS-(AX1)-MXZLO-(MAR)"/>
    <s v="64D23H"/>
    <n v="2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"/>
    <n v="815.93"/>
    <n v="762.77"/>
    <n v="4922.96"/>
    <n v="0"/>
    <n v="0"/>
    <n v="731"/>
    <n v="815.93"/>
    <n v="762.77"/>
    <n v="4922.9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MAR"/>
    <m/>
    <m/>
    <s v="S"/>
    <s v="63D11H"/>
    <n v="1490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2"/>
    <s v="E"/>
    <s v="(TIP)-SGSIN-(MD2)-KRPUS-(AX2)-MXLZC-(MAR)"/>
    <s v="57D23H"/>
    <n v="1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9.67"/>
    <n v="1063.45"/>
    <n v="1003.91"/>
    <n v="5239.49"/>
    <n v="0"/>
    <n v="0"/>
    <n v="919.67"/>
    <n v="1063.45"/>
    <n v="1003.91"/>
    <n v="5239.4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MAR"/>
    <m/>
    <m/>
    <s v="S"/>
    <s v="56D11H"/>
    <n v="1322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2"/>
    <s v="E"/>
    <s v="(PS3)-SGSIN-(AGX)-KRPUS-(AX2)-MXLZC-(MAR)"/>
    <s v="68D10H"/>
    <n v="1"/>
    <s v="DR"/>
    <s v="D"/>
    <s v="Y"/>
    <s v="Y"/>
    <x v="16"/>
    <s v="NHAVA SHEVA"/>
    <x v="0"/>
    <s v="NHAVA SHEVA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8.47"/>
    <n v="942.81"/>
    <n v="889.65"/>
    <n v="5052.1499999999996"/>
    <n v="0"/>
    <n v="0"/>
    <n v="838.47"/>
    <n v="942.81"/>
    <n v="889.65"/>
    <n v="5052.149999999999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MAR"/>
    <m/>
    <m/>
    <s v="S"/>
    <s v="66D22H"/>
    <n v="1569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758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1"/>
    <s v="E"/>
    <s v="(AX1)-MXLZC-(MAR)"/>
    <s v="35D3H"/>
    <n v="2"/>
    <s v="DR"/>
    <s v="D"/>
    <s v="Y"/>
    <s v="Y"/>
    <x v="17"/>
    <s v="NINGBO, ZHEJIA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2.66"/>
    <n v="1034.3499999999999"/>
    <n v="1041.29"/>
    <n v="1145.83"/>
    <n v="0"/>
    <n v="0"/>
    <n v="842.66"/>
    <n v="1034.3499999999999"/>
    <n v="1041.29"/>
    <n v="1145.83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94"/>
    <n v="723.44"/>
    <n v="723.44"/>
    <n v="0"/>
    <n v="0"/>
    <n v="0"/>
    <m/>
    <m/>
    <m/>
    <m/>
    <m/>
    <m/>
    <m/>
    <m/>
    <m/>
    <m/>
    <m/>
    <m/>
    <s v="AX1"/>
    <s v="MAR"/>
    <m/>
    <m/>
    <s v="S"/>
    <s v="33D15H"/>
    <n v="753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308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2"/>
    <x v="12"/>
    <x v="12"/>
    <x v="0"/>
    <x v="0"/>
    <x v="0"/>
    <m/>
    <m/>
    <m/>
    <m/>
    <m/>
    <m/>
  </r>
  <r>
    <s v="LW"/>
    <s v="LWE"/>
    <s v="LWT"/>
    <s v="LW"/>
    <s v="AX3"/>
    <s v="E"/>
    <s v="(AX3)-MXZLO-(MAR)"/>
    <s v="39D3H"/>
    <n v="1"/>
    <s v="DR"/>
    <s v="D"/>
    <s v="Y"/>
    <s v="Y"/>
    <x v="17"/>
    <s v="NINGBO, ZHEJIA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36"/>
    <n v="861.77"/>
    <n v="868.27"/>
    <n v="1019.61"/>
    <n v="0"/>
    <n v="0"/>
    <n v="667.36"/>
    <n v="861.77"/>
    <n v="868.27"/>
    <n v="1019.61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94"/>
    <n v="723.44"/>
    <n v="723.44"/>
    <n v="0"/>
    <n v="0"/>
    <n v="0"/>
    <m/>
    <m/>
    <m/>
    <m/>
    <m/>
    <m/>
    <m/>
    <m/>
    <m/>
    <m/>
    <m/>
    <m/>
    <s v="AX3"/>
    <s v="MAR"/>
    <m/>
    <m/>
    <s v="S"/>
    <s v="37D15H"/>
    <n v="858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308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2"/>
    <x v="12"/>
    <x v="12"/>
    <x v="0"/>
    <x v="0"/>
    <x v="0"/>
    <m/>
    <m/>
    <m/>
    <m/>
    <m/>
    <m/>
  </r>
  <r>
    <s v="LW"/>
    <s v="LWE"/>
    <s v="LWT"/>
    <s v="LW"/>
    <s v="AX1"/>
    <s v="E"/>
    <s v="(AX1)-MXZLO-(MAR)"/>
    <s v="35D3H"/>
    <n v="1"/>
    <s v="DR"/>
    <s v="D"/>
    <s v="Y"/>
    <s v="Y"/>
    <x v="17"/>
    <s v="NINGBO, ZHEJIA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1.76"/>
    <n v="853.45"/>
    <n v="860.39"/>
    <n v="1006.69"/>
    <n v="0"/>
    <n v="0"/>
    <n v="661.76"/>
    <n v="853.45"/>
    <n v="860.39"/>
    <n v="1006.69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94"/>
    <n v="723.44"/>
    <n v="723.44"/>
    <n v="0"/>
    <n v="0"/>
    <n v="0"/>
    <m/>
    <m/>
    <m/>
    <m/>
    <m/>
    <m/>
    <m/>
    <m/>
    <m/>
    <m/>
    <m/>
    <m/>
    <s v="AX1"/>
    <s v="MAR"/>
    <m/>
    <m/>
    <s v="S"/>
    <s v="33D15H"/>
    <n v="753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308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2"/>
    <x v="12"/>
    <x v="12"/>
    <x v="0"/>
    <x v="0"/>
    <x v="0"/>
    <m/>
    <m/>
    <m/>
    <m/>
    <m/>
    <m/>
  </r>
  <r>
    <s v="LW"/>
    <s v="LWE"/>
    <s v="LWT"/>
    <s v="LW"/>
    <s v="AX2"/>
    <s v="E"/>
    <s v="(AX2)-MXLZC-(MAR)"/>
    <s v="31D3H"/>
    <n v="1"/>
    <s v="DR"/>
    <s v="D"/>
    <s v="Y"/>
    <s v="Y"/>
    <x v="17"/>
    <s v="NINGBO, ZHEJIANG"/>
    <x v="4"/>
    <s v="NINGBO, ZHEJI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2.96"/>
    <n v="901.92"/>
    <n v="909.3"/>
    <n v="1050.56"/>
    <n v="0"/>
    <n v="0"/>
    <n v="712.96"/>
    <n v="901.92"/>
    <n v="909.3"/>
    <n v="1050.56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94"/>
    <n v="723.44"/>
    <n v="723.44"/>
    <n v="0"/>
    <n v="0"/>
    <n v="0"/>
    <m/>
    <m/>
    <m/>
    <m/>
    <m/>
    <m/>
    <m/>
    <m/>
    <m/>
    <m/>
    <m/>
    <m/>
    <s v="AX2"/>
    <s v="MAR"/>
    <m/>
    <m/>
    <s v="S"/>
    <s v="29D15H"/>
    <n v="680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30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2"/>
    <x v="12"/>
    <x v="12"/>
    <x v="0"/>
    <x v="0"/>
    <x v="0"/>
    <m/>
    <m/>
    <m/>
    <m/>
    <m/>
    <m/>
  </r>
  <r>
    <s v="LW"/>
    <s v="LWE"/>
    <s v="LWT"/>
    <s v="LW"/>
    <s v="AX2"/>
    <s v="E"/>
    <s v="(PF2)-SGSIN-(CSW)-KRPUS-(AX2)-MXLZC-(MAR)"/>
    <s v="53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7.61"/>
    <n v="1285.1600000000001"/>
    <n v="1338.87"/>
    <n v="1385.87"/>
    <n v="0"/>
    <n v="0"/>
    <n v="957.61"/>
    <n v="1285.1600000000001"/>
    <n v="1338.87"/>
    <n v="1385.8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2D7H"/>
    <n v="119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32.44132314000001"/>
    <n v="475.15599114000003"/>
    <n v="475.15599114000003"/>
    <n v="479.77998714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MD2)-KRPUS-(AX1)-MXZLO-(MAR)"/>
    <s v="52D3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9.7"/>
    <n v="1226.51"/>
    <n v="1280.43"/>
    <n v="1320.29"/>
    <n v="0"/>
    <n v="0"/>
    <n v="899.7"/>
    <n v="1226.51"/>
    <n v="1280.43"/>
    <n v="1320.29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1"/>
    <s v="MAR"/>
    <m/>
    <m/>
    <s v="S"/>
    <s v="50D15H"/>
    <n v="118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9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3)-KRPUS-(AX1)-MXLZC-(MAR)"/>
    <s v="60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07.8"/>
    <n v="1299.24"/>
    <n v="1358.89"/>
    <n v="1291.47"/>
    <n v="0"/>
    <n v="0"/>
    <n v="1007.8"/>
    <n v="1299.24"/>
    <n v="1358.89"/>
    <n v="1291.4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9D7H"/>
    <n v="1363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MD3)-KRPUS-(AX2)-MXZLO-(MAR)"/>
    <s v="46D19H"/>
    <n v="2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18.65"/>
    <n v="1361.46"/>
    <n v="1415.94"/>
    <n v="1451.81"/>
    <n v="0"/>
    <n v="0"/>
    <n v="1018.65"/>
    <n v="1361.46"/>
    <n v="1415.94"/>
    <n v="1451.8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45D7H"/>
    <n v="102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1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MD2)-KRPUS-(AX2)-MXLZC-(MAR)"/>
    <s v="53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09.97"/>
    <n v="1357.55"/>
    <n v="1411.25"/>
    <n v="1455.95"/>
    <n v="0"/>
    <n v="0"/>
    <n v="1009.97"/>
    <n v="1357.55"/>
    <n v="1411.25"/>
    <n v="1455.9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2D7H"/>
    <n v="119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8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2)-KRPUS-(AX1)-MXZLO-(MAR)"/>
    <s v="53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2.5"/>
    <n v="1230.67"/>
    <n v="1284.3699999999999"/>
    <n v="1326.75"/>
    <n v="0"/>
    <n v="0"/>
    <n v="902.5"/>
    <n v="1230.67"/>
    <n v="1284.3699999999999"/>
    <n v="1326.7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2D7H"/>
    <n v="119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2)-KRPUS-(AX1)-MXLZC-(MAR)"/>
    <s v="53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83.4000000000001"/>
    <n v="1411.56"/>
    <n v="1465.27"/>
    <n v="1465.89"/>
    <n v="0"/>
    <n v="0"/>
    <n v="1083.4000000000001"/>
    <n v="1411.56"/>
    <n v="1465.27"/>
    <n v="1465.89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2D7H"/>
    <n v="119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58.22170914000003"/>
    <n v="601.55577774000005"/>
    <n v="601.55577774000005"/>
    <n v="559.79577773999995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6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CSW)-KRPUS-(AX1)-MXZLO-(MAR)"/>
    <s v="53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3.18"/>
    <n v="1300.75"/>
    <n v="1354.46"/>
    <n v="1399.15"/>
    <n v="0"/>
    <n v="0"/>
    <n v="953.18"/>
    <n v="1300.75"/>
    <n v="1354.46"/>
    <n v="1399.1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2D7H"/>
    <n v="119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28.00446613999998"/>
    <n v="490.74648444000002"/>
    <n v="490.74648444000002"/>
    <n v="493.058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2"/>
    <s v="E"/>
    <s v="(PF1)-SGSIN-(MD3)-KRPUS-(AX2)-MXZLO-(MAR)"/>
    <s v="45D3H"/>
    <n v="2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15.85"/>
    <n v="1357.3"/>
    <n v="1412"/>
    <n v="1445.35"/>
    <n v="0"/>
    <n v="0"/>
    <n v="1015.85"/>
    <n v="1357.3"/>
    <n v="1412"/>
    <n v="1445.3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1"/>
    <s v="MAR"/>
    <m/>
    <m/>
    <s v="S"/>
    <s v="43D15H"/>
    <n v="101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1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MD3)-KRPUS-(AX2)-MXLZC-(MAR)"/>
    <s v="53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09.97"/>
    <n v="1357.55"/>
    <n v="1411.25"/>
    <n v="1455.95"/>
    <n v="0"/>
    <n v="0"/>
    <n v="1009.97"/>
    <n v="1357.55"/>
    <n v="1411.25"/>
    <n v="1455.9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2D7H"/>
    <n v="119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84.79846614000002"/>
    <n v="547.54048444"/>
    <n v="547.54048444"/>
    <n v="549.8524824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7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AGX)-KRPUS-(AX1)-MXZLO-(MAR)"/>
    <s v="59D3H"/>
    <n v="2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9.5"/>
    <n v="1241.07"/>
    <n v="1294.22"/>
    <n v="1342.9"/>
    <n v="0"/>
    <n v="0"/>
    <n v="909.5"/>
    <n v="1241.07"/>
    <n v="1294.22"/>
    <n v="1342.9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1"/>
    <s v="MAR"/>
    <m/>
    <m/>
    <s v="S"/>
    <s v="57D15H"/>
    <n v="1353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1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CSW)-KRPUS-(AX1)-MXZLO-(MAR)"/>
    <s v="52D3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0.38"/>
    <n v="1296.5899999999999"/>
    <n v="1350.52"/>
    <n v="1392.69"/>
    <n v="0"/>
    <n v="0"/>
    <n v="950.38"/>
    <n v="1296.5899999999999"/>
    <n v="1350.52"/>
    <n v="1392.69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1"/>
    <s v="MAR"/>
    <m/>
    <m/>
    <s v="S"/>
    <s v="50D15H"/>
    <n v="118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28.00446613999998"/>
    <n v="490.74648444000002"/>
    <n v="490.74648444000002"/>
    <n v="493.058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10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3)-KRPUS-(AX1)-MXZLO-(MAR)"/>
    <s v="60D19H"/>
    <n v="1"/>
    <s v="DR"/>
    <s v="D"/>
    <s v="Y"/>
    <s v="Y"/>
    <x v="18"/>
    <s v="PENANG"/>
    <x v="16"/>
    <s v="PENA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6.9"/>
    <n v="1118.3499999999999"/>
    <n v="1177.99"/>
    <n v="1152.33"/>
    <n v="0"/>
    <n v="0"/>
    <n v="826.9"/>
    <n v="1118.3499999999999"/>
    <n v="1177.99"/>
    <n v="1152.33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PF2"/>
    <s v="MAR"/>
    <m/>
    <m/>
    <s v="S"/>
    <s v="59D7H"/>
    <n v="1363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55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2"/>
    <s v="E"/>
    <s v="(PS3)-SGSIN-(AGX)-KRPUS-(AX2)-MXZLO-(MAR)"/>
    <s v="63D5H"/>
    <n v="3"/>
    <s v="DR"/>
    <s v="D"/>
    <s v="Y"/>
    <s v="Y"/>
    <x v="19"/>
    <s v="PIPAVAV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6.07"/>
    <n v="1024.7"/>
    <n v="1126.4100000000001"/>
    <n v="4943.17"/>
    <n v="0"/>
    <n v="0"/>
    <n v="856.07"/>
    <n v="1024.7"/>
    <n v="1126.4100000000001"/>
    <n v="4943.17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82.54"/>
    <n v="718.93"/>
    <n v="718.93"/>
    <n v="0"/>
    <n v="0"/>
    <n v="0"/>
    <m/>
    <m/>
    <m/>
    <m/>
    <m/>
    <m/>
    <m/>
    <m/>
    <m/>
    <m/>
    <m/>
    <m/>
    <s v="PS3"/>
    <s v="MAR"/>
    <m/>
    <m/>
    <s v="T"/>
    <s v="61D17H"/>
    <n v="1451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503.27446614000002"/>
    <n v="566.01648444"/>
    <n v="566.01648444"/>
    <n v="568.328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068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4"/>
    <x v="14"/>
    <x v="14"/>
    <x v="0"/>
    <x v="0"/>
    <x v="0"/>
    <m/>
    <m/>
    <m/>
    <m/>
    <m/>
    <m/>
  </r>
  <r>
    <s v="LW"/>
    <s v="LWE"/>
    <s v="LWT"/>
    <s v="LW"/>
    <s v="AX1"/>
    <s v="E"/>
    <s v="(TIP)-SGSIN-(CMS)-CNSHA-(AX1)-MXZLO-(MAR)"/>
    <s v="71D12H"/>
    <n v="3"/>
    <s v="DR"/>
    <s v="D"/>
    <s v="Y"/>
    <s v="Y"/>
    <x v="19"/>
    <s v="PIPAVAV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8.99"/>
    <n v="922.86"/>
    <n v="1025.26"/>
    <n v="4778.7299999999996"/>
    <n v="0"/>
    <n v="0"/>
    <n v="758.99"/>
    <n v="922.86"/>
    <n v="1025.26"/>
    <n v="4778.7299999999996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82.54"/>
    <n v="718.93"/>
    <n v="718.93"/>
    <n v="0"/>
    <n v="0"/>
    <n v="0"/>
    <m/>
    <m/>
    <m/>
    <m/>
    <m/>
    <m/>
    <m/>
    <m/>
    <m/>
    <m/>
    <m/>
    <m/>
    <s v="TIP"/>
    <s v="MAR"/>
    <m/>
    <m/>
    <s v="T"/>
    <s v="70D0H"/>
    <n v="1654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06.19659658"/>
    <n v="464.18039728000002"/>
    <n v="464.87039728000002"/>
    <n v="403.8869624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068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4"/>
    <x v="14"/>
    <x v="14"/>
    <x v="0"/>
    <x v="0"/>
    <x v="0"/>
    <m/>
    <m/>
    <m/>
    <m/>
    <m/>
    <m/>
  </r>
  <r>
    <s v="LW"/>
    <s v="LWE"/>
    <s v="LWT"/>
    <s v="LW"/>
    <s v="AX1"/>
    <s v="E"/>
    <s v="(TIP)-SGSIN-(SW2)-CNSHA-(AX1)-MXZLO-(MAR)"/>
    <s v="71D12H"/>
    <n v="3"/>
    <s v="DR"/>
    <s v="D"/>
    <s v="Y"/>
    <s v="Y"/>
    <x v="19"/>
    <s v="PIPAVAV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7.56"/>
    <n v="919.72"/>
    <n v="1022.11"/>
    <n v="4775.59"/>
    <n v="0"/>
    <n v="0"/>
    <n v="757.56"/>
    <n v="919.72"/>
    <n v="1022.11"/>
    <n v="4775.59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82.54"/>
    <n v="718.93"/>
    <n v="718.93"/>
    <n v="0"/>
    <n v="0"/>
    <n v="0"/>
    <m/>
    <m/>
    <m/>
    <m/>
    <m/>
    <m/>
    <m/>
    <m/>
    <m/>
    <m/>
    <m/>
    <m/>
    <s v="TIP"/>
    <s v="MAR"/>
    <m/>
    <m/>
    <s v="T"/>
    <s v="70D0H"/>
    <n v="1654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04.76759657999997"/>
    <n v="461.03339727999997"/>
    <n v="461.72339727999997"/>
    <n v="400.7399624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068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4"/>
    <x v="14"/>
    <x v="14"/>
    <x v="0"/>
    <x v="0"/>
    <x v="0"/>
    <m/>
    <m/>
    <m/>
    <m/>
    <m/>
    <m/>
  </r>
  <r>
    <s v="LW"/>
    <s v="LWE"/>
    <s v="LWT"/>
    <s v="WN"/>
    <s v="MAR"/>
    <s v="E"/>
    <s v="(PS3)-USLAX-(MAR)"/>
    <s v="56D5H"/>
    <n v="2"/>
    <s v="DR"/>
    <s v="D"/>
    <s v="Y"/>
    <s v="Y"/>
    <x v="19"/>
    <s v="PIPAVAV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31.26"/>
    <n v="1175.23"/>
    <n v="1270.78"/>
    <n v="5155.79"/>
    <n v="0"/>
    <n v="0"/>
    <n v="1031.26"/>
    <n v="1175.23"/>
    <n v="1270.78"/>
    <n v="5155.79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82.54"/>
    <n v="718.93"/>
    <n v="718.93"/>
    <n v="0"/>
    <n v="0"/>
    <n v="0"/>
    <m/>
    <m/>
    <m/>
    <m/>
    <m/>
    <m/>
    <m/>
    <m/>
    <m/>
    <m/>
    <m/>
    <m/>
    <s v="PS3"/>
    <s v="MAR"/>
    <m/>
    <m/>
    <s v="S"/>
    <s v="54D17H"/>
    <n v="1283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641.87900000000002"/>
    <n v="641.87900000000002"/>
    <n v="641.87900000000002"/>
    <n v="641.87900000000002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068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4"/>
    <x v="14"/>
    <x v="14"/>
    <x v="0"/>
    <x v="0"/>
    <x v="0"/>
    <m/>
    <m/>
    <m/>
    <m/>
    <m/>
    <m/>
  </r>
  <r>
    <s v="LW"/>
    <s v="LWE"/>
    <s v="LWT"/>
    <s v="LW"/>
    <s v="AX1"/>
    <s v="E"/>
    <s v="(PS3)-SGSIN-(AGX)-KRPUS-(AX1)-MXZLO-(MAR)"/>
    <s v="70D5H"/>
    <n v="3"/>
    <s v="DR"/>
    <s v="D"/>
    <s v="Y"/>
    <s v="Y"/>
    <x v="19"/>
    <s v="PIPAVAV"/>
    <x v="5"/>
    <s v="PIPAVAV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0.12"/>
    <n v="879.34"/>
    <n v="981.05"/>
    <n v="4795.51"/>
    <n v="0"/>
    <n v="0"/>
    <n v="730.12"/>
    <n v="879.34"/>
    <n v="981.05"/>
    <n v="4795.51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82.54"/>
    <n v="718.93"/>
    <n v="718.93"/>
    <n v="0"/>
    <n v="0"/>
    <n v="0"/>
    <m/>
    <m/>
    <m/>
    <m/>
    <m/>
    <m/>
    <m/>
    <m/>
    <m/>
    <m/>
    <m/>
    <m/>
    <s v="PS3"/>
    <s v="MAR"/>
    <m/>
    <m/>
    <s v="T"/>
    <s v="68D17H"/>
    <n v="1619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77.32570914000001"/>
    <n v="420.65977773999998"/>
    <n v="420.65977773999998"/>
    <n v="420.659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068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4"/>
    <x v="14"/>
    <x v="14"/>
    <x v="0"/>
    <x v="0"/>
    <x v="0"/>
    <m/>
    <m/>
    <m/>
    <m/>
    <m/>
    <m/>
  </r>
  <r>
    <s v="LW"/>
    <s v="LWE"/>
    <s v="LWT"/>
    <s v="LW"/>
    <s v="AX2"/>
    <s v="E"/>
    <s v="(AX2)-MXLZC-(MAR)"/>
    <s v="29D7H"/>
    <n v="1"/>
    <s v="DR"/>
    <s v="D"/>
    <s v="Y"/>
    <s v="Y"/>
    <x v="20"/>
    <s v="PUSAN"/>
    <x v="17"/>
    <s v="PUS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8.52"/>
    <n v="868.18"/>
    <n v="853.9"/>
    <n v="954.96"/>
    <n v="0"/>
    <n v="0"/>
    <n v="748.52"/>
    <n v="868.18"/>
    <n v="853.9"/>
    <n v="954.96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09.21"/>
    <n v="739.61"/>
    <n v="739.61"/>
    <n v="0"/>
    <n v="0"/>
    <n v="0"/>
    <m/>
    <m/>
    <m/>
    <m/>
    <m/>
    <m/>
    <m/>
    <m/>
    <m/>
    <m/>
    <m/>
    <m/>
    <s v="AX2"/>
    <s v="MAR"/>
    <m/>
    <m/>
    <s v="S"/>
    <s v="27D20H"/>
    <n v="625"/>
    <s v="2018-09-29"/>
    <s v="Historical averaged cost."/>
    <n v="102.23587000000001"/>
    <n v="144.99600000000001"/>
    <n v="144.99600000000001"/>
    <n v="149.26430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40.6"/>
    <n v="60.32"/>
    <n v="57.13"/>
    <n v="93.67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6190003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0"/>
    <x v="0"/>
    <x v="0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1"/>
    <s v="E"/>
    <s v="(AX1)-MXZLO-(MAR)"/>
    <s v="31D7H"/>
    <n v="1"/>
    <s v="DR"/>
    <s v="D"/>
    <s v="Y"/>
    <s v="Y"/>
    <x v="20"/>
    <s v="PUSAN"/>
    <x v="17"/>
    <s v="PUS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1.73"/>
    <n v="809.47"/>
    <n v="794.96"/>
    <n v="894.27"/>
    <n v="0"/>
    <n v="0"/>
    <n v="691.73"/>
    <n v="809.47"/>
    <n v="794.96"/>
    <n v="894.27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09.21"/>
    <n v="739.61"/>
    <n v="739.61"/>
    <n v="0"/>
    <n v="0"/>
    <n v="0"/>
    <m/>
    <m/>
    <m/>
    <m/>
    <m/>
    <m/>
    <m/>
    <m/>
    <m/>
    <m/>
    <m/>
    <m/>
    <s v="AX1"/>
    <s v="MAR"/>
    <m/>
    <m/>
    <s v="S"/>
    <s v="29D19H"/>
    <n v="680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6190001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0"/>
    <x v="0"/>
    <x v="0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3"/>
    <s v="E"/>
    <s v="(AX3)-MXZLO-(MAR)"/>
    <s v="31D7H"/>
    <n v="2"/>
    <s v="DR"/>
    <s v="D"/>
    <s v="Y"/>
    <s v="Y"/>
    <x v="20"/>
    <s v="PUSAN"/>
    <x v="17"/>
    <s v="PUS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1.73"/>
    <n v="809.47"/>
    <n v="794.96"/>
    <n v="894.27"/>
    <n v="0"/>
    <n v="0"/>
    <n v="691.73"/>
    <n v="809.47"/>
    <n v="794.96"/>
    <n v="894.27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09.21"/>
    <n v="739.61"/>
    <n v="739.61"/>
    <n v="0"/>
    <n v="0"/>
    <n v="0"/>
    <m/>
    <m/>
    <m/>
    <m/>
    <m/>
    <m/>
    <m/>
    <m/>
    <m/>
    <m/>
    <m/>
    <m/>
    <s v="AX3"/>
    <s v="MAR"/>
    <m/>
    <m/>
    <s v="S"/>
    <s v="29D19H"/>
    <n v="675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6190005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0"/>
    <x v="0"/>
    <x v="0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1"/>
    <s v="E"/>
    <s v="(AX1)-MXLZC-(MAR)"/>
    <s v="24D7H"/>
    <n v="1"/>
    <s v="DR"/>
    <s v="D"/>
    <s v="Y"/>
    <s v="Y"/>
    <x v="20"/>
    <s v="PUSAN"/>
    <x v="17"/>
    <s v="PUS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2.83"/>
    <n v="975.8"/>
    <n v="962.07"/>
    <n v="1010.8"/>
    <n v="0"/>
    <n v="0"/>
    <n v="862.83"/>
    <n v="975.8"/>
    <n v="962.07"/>
    <n v="1010.8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09.21"/>
    <n v="739.61"/>
    <n v="739.61"/>
    <n v="0"/>
    <n v="0"/>
    <n v="0"/>
    <m/>
    <m/>
    <m/>
    <m/>
    <m/>
    <m/>
    <m/>
    <m/>
    <m/>
    <m/>
    <m/>
    <m/>
    <s v="AX1"/>
    <s v="MAR"/>
    <m/>
    <m/>
    <s v="S"/>
    <s v="22D19H"/>
    <n v="512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33.6"/>
    <n v="49.92"/>
    <n v="47.28"/>
    <n v="77.5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6190002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0"/>
    <x v="0"/>
    <x v="0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1"/>
    <s v="E"/>
    <s v="(AX3)-KRPUS-(AX1)-MXZLO-(MAR)"/>
    <s v="42D20H"/>
    <n v="2"/>
    <s v="DR"/>
    <s v="D"/>
    <s v="Y"/>
    <s v="Y"/>
    <x v="21"/>
    <s v="QINGDAO, SHANDONG"/>
    <x v="18"/>
    <s v="QINGDAO, SHAN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2.37"/>
    <n v="975.31"/>
    <n v="989.24"/>
    <n v="1154.5"/>
    <n v="0"/>
    <n v="0"/>
    <n v="792.37"/>
    <n v="975.31"/>
    <n v="989.24"/>
    <n v="1154.5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AX3"/>
    <s v="MAR"/>
    <m/>
    <m/>
    <s v="S"/>
    <s v="41D8H"/>
    <n v="907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952001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3"/>
    <s v="E"/>
    <s v="(AX3)-MXZLO-(MAR)"/>
    <s v="35D20H"/>
    <n v="2"/>
    <s v="DR"/>
    <s v="D"/>
    <s v="Y"/>
    <s v="Y"/>
    <x v="21"/>
    <s v="QINGDAO, SHANDONG"/>
    <x v="18"/>
    <s v="QINGDAO, SHAN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91"/>
    <n v="813.75"/>
    <n v="828.45"/>
    <n v="984.89"/>
    <n v="0"/>
    <n v="0"/>
    <n v="678.91"/>
    <n v="813.75"/>
    <n v="828.45"/>
    <n v="984.89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AX3"/>
    <s v="MAR"/>
    <m/>
    <m/>
    <s v="S"/>
    <s v="34D8H"/>
    <n v="739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952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-MXLZC-(MAR)"/>
    <s v="49D20H"/>
    <n v="2"/>
    <s v="DR"/>
    <s v="D"/>
    <s v="Y"/>
    <s v="Y"/>
    <x v="21"/>
    <s v="QINGDAO, SHANDONG"/>
    <x v="18"/>
    <s v="QINGDAO, SHAN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9.65"/>
    <n v="1116.75"/>
    <n v="1129.9100000000001"/>
    <n v="1306.3"/>
    <n v="0"/>
    <n v="0"/>
    <n v="909.65"/>
    <n v="1116.75"/>
    <n v="1129.9100000000001"/>
    <n v="1306.3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AX3"/>
    <s v="MAR"/>
    <m/>
    <m/>
    <s v="S"/>
    <s v="48D8H"/>
    <n v="1075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36.56647099999998"/>
    <n v="399.30848930000002"/>
    <n v="399.30848930000002"/>
    <n v="401.62048729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952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2"/>
    <s v="E"/>
    <s v="(MD1)-KRPUS-(AX2)-MXLZC-(MAR)"/>
    <s v="37D20H"/>
    <n v="2"/>
    <s v="DR"/>
    <s v="D"/>
    <s v="Y"/>
    <s v="Y"/>
    <x v="21"/>
    <s v="QINGDAO, SHANDONG"/>
    <x v="18"/>
    <s v="QINGDAO, SHAN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2.83"/>
    <n v="1091.77"/>
    <n v="1106.25"/>
    <n v="1267.52"/>
    <n v="0"/>
    <n v="0"/>
    <n v="892.83"/>
    <n v="1091.77"/>
    <n v="1106.25"/>
    <n v="1267.52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MD1"/>
    <s v="MAR"/>
    <m/>
    <m/>
    <s v="S"/>
    <s v="36D8H"/>
    <n v="812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36.56647099999998"/>
    <n v="399.30848930000002"/>
    <n v="399.30848930000002"/>
    <n v="401.62048729999998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952001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1"/>
    <s v="E"/>
    <s v="(MD1)-KRPUS-(AX1)-MXZLO-(MAR)"/>
    <s v="37D20H"/>
    <n v="2"/>
    <s v="DR"/>
    <s v="D"/>
    <s v="Y"/>
    <s v="Y"/>
    <x v="21"/>
    <s v="QINGDAO, SHANDONG"/>
    <x v="18"/>
    <s v="QINGDAO, SHAN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5.36"/>
    <n v="964.89"/>
    <n v="979.37"/>
    <n v="1138.33"/>
    <n v="0"/>
    <n v="0"/>
    <n v="785.36"/>
    <n v="964.89"/>
    <n v="979.37"/>
    <n v="1138.33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MD1"/>
    <s v="MAR"/>
    <m/>
    <m/>
    <s v="S"/>
    <s v="36D8H"/>
    <n v="812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952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-MXLZC-(MAR)"/>
    <s v="42D20H"/>
    <n v="1"/>
    <s v="DR"/>
    <s v="D"/>
    <s v="Y"/>
    <s v="Y"/>
    <x v="21"/>
    <s v="QINGDAO, SHANDONG"/>
    <x v="18"/>
    <s v="QINGDAO, SHAN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73.27"/>
    <n v="1156.21"/>
    <n v="1170.1400000000001"/>
    <n v="1293.6400000000001"/>
    <n v="0"/>
    <n v="0"/>
    <n v="973.27"/>
    <n v="1156.21"/>
    <n v="1170.1400000000001"/>
    <n v="1293.6400000000001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AX3"/>
    <s v="MAR"/>
    <m/>
    <m/>
    <s v="S"/>
    <s v="41D8H"/>
    <n v="907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409.98971399999999"/>
    <n v="453.32378260000002"/>
    <n v="453.32378260000002"/>
    <n v="411.56378260000002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952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2"/>
    <s v="E"/>
    <s v="(AX2)-MXLZC-(MAR)"/>
    <s v="42D3H"/>
    <n v="1"/>
    <s v="DR"/>
    <s v="D"/>
    <s v="Y"/>
    <s v="Y"/>
    <x v="22"/>
    <s v="SHANGHAI, SHANGHAI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4.97"/>
    <n v="909.75"/>
    <n v="886.46"/>
    <n v="1057.1199999999999"/>
    <n v="0"/>
    <n v="0"/>
    <n v="724.97"/>
    <n v="909.75"/>
    <n v="886.46"/>
    <n v="1057.1199999999999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25.64"/>
    <n v="764.99"/>
    <n v="764.99"/>
    <n v="0"/>
    <n v="0"/>
    <n v="0"/>
    <m/>
    <m/>
    <m/>
    <m/>
    <m/>
    <m/>
    <m/>
    <m/>
    <m/>
    <m/>
    <m/>
    <m/>
    <s v="AX2"/>
    <s v="MAR"/>
    <m/>
    <m/>
    <s v="S"/>
    <s v="40D15H"/>
    <n v="915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710003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MAR)"/>
    <s v="36D3H"/>
    <n v="1"/>
    <s v="DR"/>
    <s v="D"/>
    <s v="Y"/>
    <s v="Y"/>
    <x v="22"/>
    <s v="SHANGHAI, SHANGHAI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9.78"/>
    <n v="840.48"/>
    <n v="817.85"/>
    <n v="980.95"/>
    <n v="0"/>
    <n v="0"/>
    <n v="659.78"/>
    <n v="840.48"/>
    <n v="817.85"/>
    <n v="980.95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25.64"/>
    <n v="764.99"/>
    <n v="764.99"/>
    <n v="0"/>
    <n v="0"/>
    <n v="0"/>
    <m/>
    <m/>
    <m/>
    <m/>
    <m/>
    <m/>
    <m/>
    <m/>
    <m/>
    <m/>
    <m/>
    <m/>
    <s v="AX1"/>
    <s v="MAR"/>
    <m/>
    <m/>
    <s v="S"/>
    <s v="34D16H"/>
    <n v="800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710001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3"/>
    <s v="E"/>
    <s v="(AX3)-MXZLO-(MAR)"/>
    <s v="37D3H"/>
    <n v="1"/>
    <s v="DR"/>
    <s v="D"/>
    <s v="Y"/>
    <s v="Y"/>
    <x v="22"/>
    <s v="SHANGHAI, SHANGHAI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1.18"/>
    <n v="842.56"/>
    <n v="819.82"/>
    <n v="984.18"/>
    <n v="0"/>
    <n v="0"/>
    <n v="661.18"/>
    <n v="842.56"/>
    <n v="819.82"/>
    <n v="984.18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25.64"/>
    <n v="764.99"/>
    <n v="764.99"/>
    <n v="0"/>
    <n v="0"/>
    <n v="0"/>
    <m/>
    <m/>
    <m/>
    <m/>
    <m/>
    <m/>
    <m/>
    <m/>
    <m/>
    <m/>
    <m/>
    <m/>
    <s v="AX3"/>
    <s v="MAR"/>
    <m/>
    <m/>
    <s v="S"/>
    <s v="35D16H"/>
    <n v="828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710002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MAR)"/>
    <s v="40D23H"/>
    <n v="1"/>
    <s v="DR"/>
    <s v="D"/>
    <s v="Y"/>
    <s v="Y"/>
    <x v="23"/>
    <s v="SHANTOU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7.28"/>
    <n v="847.62"/>
    <n v="1169.6600000000001"/>
    <n v="1483.99"/>
    <n v="0"/>
    <n v="0"/>
    <n v="837.28"/>
    <n v="847.62"/>
    <n v="1169.6600000000001"/>
    <n v="1483.9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39D6H"/>
    <n v="873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75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8D15H"/>
    <n v="3"/>
    <s v="DR"/>
    <s v="D"/>
    <s v="Y"/>
    <s v="Y"/>
    <x v="23"/>
    <s v="SHANT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57.4000000000001"/>
    <n v="1143.22"/>
    <n v="1465.47"/>
    <n v="1791.39"/>
    <n v="0"/>
    <n v="0"/>
    <n v="1057.4000000000001"/>
    <n v="1143.22"/>
    <n v="1465.47"/>
    <n v="1791.3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6D21H"/>
    <n v="797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75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40D17H"/>
    <n v="1"/>
    <s v="DR"/>
    <s v="D"/>
    <s v="Y"/>
    <s v="Y"/>
    <x v="23"/>
    <s v="SHANTOU, GUANGDONG"/>
    <x v="11"/>
    <s v="XIAMEN, FUJI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4.32"/>
    <n v="871.75"/>
    <n v="1193.78"/>
    <n v="1529.66"/>
    <n v="0"/>
    <n v="0"/>
    <n v="874.32"/>
    <n v="871.75"/>
    <n v="1193.78"/>
    <n v="1529.66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8D24H"/>
    <n v="859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75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8D15H"/>
    <n v="1"/>
    <s v="DR"/>
    <s v="D"/>
    <s v="Y"/>
    <s v="Y"/>
    <x v="23"/>
    <s v="SHANT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5.41"/>
    <n v="998.52"/>
    <n v="1320.77"/>
    <n v="1642.07"/>
    <n v="0"/>
    <n v="0"/>
    <n v="955.41"/>
    <n v="998.52"/>
    <n v="1320.77"/>
    <n v="1642.0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6D21H"/>
    <n v="782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75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8D20H"/>
    <n v="1"/>
    <s v="DR"/>
    <s v="D"/>
    <s v="Y"/>
    <s v="Y"/>
    <x v="23"/>
    <s v="SHANTOU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28.91"/>
    <n v="963.4"/>
    <n v="1285.6500000000001"/>
    <n v="1587.99"/>
    <n v="0"/>
    <n v="0"/>
    <n v="928.91"/>
    <n v="963.4"/>
    <n v="1285.6500000000001"/>
    <n v="1587.9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7D3H"/>
    <n v="814"/>
    <s v="2018-09-29"/>
    <s v="Historical averaged cost."/>
    <n v="110.87472"/>
    <n v="166.13449"/>
    <n v="166.13449"/>
    <n v="183.10584"/>
    <n v="0"/>
    <n v="0"/>
    <n v="113.39139"/>
    <n v="219.13842"/>
    <n v="219.13842"/>
    <n v="246.5307300000000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75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23H"/>
    <n v="2"/>
    <s v="DR"/>
    <s v="D"/>
    <s v="Y"/>
    <s v="Y"/>
    <x v="23"/>
    <s v="SHANT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4.22"/>
    <n v="950.04"/>
    <n v="1271.8499999999999"/>
    <n v="1598.19"/>
    <n v="0"/>
    <n v="0"/>
    <n v="904.22"/>
    <n v="950.04"/>
    <n v="1271.8499999999999"/>
    <n v="1598.1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1D5H"/>
    <n v="884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75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2D23H"/>
    <n v="2"/>
    <s v="DR"/>
    <s v="D"/>
    <s v="Y"/>
    <s v="Y"/>
    <x v="23"/>
    <s v="SHANT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85.1099999999999"/>
    <n v="1130.94"/>
    <n v="1452.75"/>
    <n v="1737.33"/>
    <n v="0"/>
    <n v="0"/>
    <n v="1085.1099999999999"/>
    <n v="1130.94"/>
    <n v="1452.75"/>
    <n v="1737.33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1D5H"/>
    <n v="884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75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1D18H"/>
    <n v="2"/>
    <s v="DR"/>
    <s v="D"/>
    <s v="Y"/>
    <s v="Y"/>
    <x v="24"/>
    <s v="SHEK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36.27"/>
    <n v="1359.77"/>
    <n v="1368.14"/>
    <n v="1591.66"/>
    <n v="0"/>
    <n v="0"/>
    <n v="1036.27"/>
    <n v="1359.77"/>
    <n v="1368.14"/>
    <n v="1591.66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39D24H"/>
    <n v="884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056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7D8H"/>
    <n v="1"/>
    <s v="DR"/>
    <s v="D"/>
    <s v="Y"/>
    <s v="Y"/>
    <x v="24"/>
    <s v="SHEKOU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1.57"/>
    <n v="973.83"/>
    <n v="982.76"/>
    <n v="1196.1199999999999"/>
    <n v="0"/>
    <n v="0"/>
    <n v="741.57"/>
    <n v="973.83"/>
    <n v="982.76"/>
    <n v="1196.1199999999999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m/>
    <m/>
    <s v="S"/>
    <s v="35D21H"/>
    <n v="814"/>
    <s v="2018-09-29"/>
    <s v="Historical averaged cost."/>
    <n v="103.94222000000001"/>
    <n v="155.98598999999999"/>
    <n v="155.98598999999999"/>
    <n v="172.95733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056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7D10H"/>
    <n v="3"/>
    <s v="DR"/>
    <s v="D"/>
    <s v="Y"/>
    <s v="Y"/>
    <x v="24"/>
    <s v="SHEK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07.16"/>
    <n v="1369.97"/>
    <n v="1378.89"/>
    <n v="1642.49"/>
    <n v="0"/>
    <n v="0"/>
    <n v="1007.16"/>
    <n v="1369.97"/>
    <n v="1378.89"/>
    <n v="1642.49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5D16H"/>
    <n v="797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056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7D10H"/>
    <n v="1"/>
    <s v="DR"/>
    <s v="D"/>
    <s v="Y"/>
    <s v="Y"/>
    <x v="24"/>
    <s v="SHEK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5.17"/>
    <n v="1225.26"/>
    <n v="1234.19"/>
    <n v="1493.16"/>
    <n v="0"/>
    <n v="0"/>
    <n v="905.17"/>
    <n v="1225.26"/>
    <n v="1234.19"/>
    <n v="1493.16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5D16H"/>
    <n v="782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056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1D18H"/>
    <n v="2"/>
    <s v="DR"/>
    <s v="D"/>
    <s v="Y"/>
    <s v="Y"/>
    <x v="24"/>
    <s v="SHEKOU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5.38"/>
    <n v="1178.8699999999999"/>
    <n v="1187.25"/>
    <n v="1452.52"/>
    <n v="0"/>
    <n v="0"/>
    <n v="855.38"/>
    <n v="1178.8699999999999"/>
    <n v="1187.25"/>
    <n v="1452.52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39D24H"/>
    <n v="884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056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JVH)-TWKHH-(MD3)-KRPUS-(AX2)-MXLZC-(MAR)"/>
    <s v="60D15H"/>
    <n v="1"/>
    <s v="DR"/>
    <s v="D"/>
    <s v="Y"/>
    <s v="Y"/>
    <x v="25"/>
    <s v="TAICH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69.22"/>
    <n v="1258.53"/>
    <n v="1258.6600000000001"/>
    <n v="1316.03"/>
    <n v="0"/>
    <n v="0"/>
    <n v="1069.22"/>
    <n v="1258.53"/>
    <n v="1258.6600000000001"/>
    <n v="1316.03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s v="T"/>
    <m/>
    <s v="S"/>
    <s v="58D21H"/>
    <n v="1170"/>
    <s v="2018-09-29"/>
    <s v="Historical averaged cost."/>
    <n v="94.672120000000007"/>
    <n v="129.36823000000001"/>
    <n v="129.36823000000001"/>
    <n v="129.36823000000001"/>
    <n v="0"/>
    <n v="0"/>
    <n v="144.44219000000001"/>
    <n v="144.44219000000001"/>
    <n v="144.44219000000001"/>
    <n v="144.44219000000001"/>
    <n v="0"/>
    <n v="0"/>
    <n v="162.893"/>
    <n v="162.893"/>
    <n v="162.893"/>
    <n v="149.82300000000001"/>
    <n v="0"/>
    <n v="0"/>
    <n v="0"/>
    <n v="0"/>
    <n v="0"/>
    <n v="0"/>
    <n v="0"/>
    <n v="0"/>
    <n v="420.85084799999998"/>
    <n v="483.65486629999998"/>
    <n v="483.65486629999998"/>
    <n v="485.96686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942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ZLO-(MAR)"/>
    <s v="55D15H"/>
    <n v="1"/>
    <s v="DR"/>
    <s v="D"/>
    <s v="Y"/>
    <s v="Y"/>
    <x v="25"/>
    <s v="TAICH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62.0899999999999"/>
    <n v="1282.1300000000001"/>
    <n v="1276.0999999999999"/>
    <n v="1401.71"/>
    <n v="0"/>
    <n v="0"/>
    <n v="1062.0899999999999"/>
    <n v="1282.1300000000001"/>
    <n v="1276.0999999999999"/>
    <n v="1401.71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3D21H"/>
    <n v="1140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162.893"/>
    <n v="162.893"/>
    <n v="162.893"/>
    <n v="149.82300000000001"/>
    <n v="0"/>
    <n v="0"/>
    <n v="0"/>
    <n v="0"/>
    <n v="0"/>
    <n v="0"/>
    <n v="0"/>
    <n v="0"/>
    <n v="324.79000200000002"/>
    <n v="381.22825460000001"/>
    <n v="381.22825460000001"/>
    <n v="381.22825460000001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942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LZC-(MAR)"/>
    <s v="55D15H"/>
    <n v="1"/>
    <s v="DR"/>
    <s v="D"/>
    <s v="Y"/>
    <s v="Y"/>
    <x v="25"/>
    <s v="TAICH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242.99"/>
    <n v="1463.02"/>
    <n v="1456.99"/>
    <n v="1540.85"/>
    <n v="0"/>
    <n v="0"/>
    <n v="1242.99"/>
    <n v="1463.02"/>
    <n v="1456.99"/>
    <n v="1540.85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3D21H"/>
    <n v="1140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162.893"/>
    <n v="162.893"/>
    <n v="162.893"/>
    <n v="149.82300000000001"/>
    <n v="0"/>
    <n v="0"/>
    <n v="0"/>
    <n v="0"/>
    <n v="0"/>
    <n v="0"/>
    <n v="0"/>
    <n v="0"/>
    <n v="505.68600199999997"/>
    <n v="562.12425459999997"/>
    <n v="562.12425459999997"/>
    <n v="520.36425459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942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MAR)"/>
    <s v="48D15H"/>
    <n v="1"/>
    <s v="DR"/>
    <s v="D"/>
    <s v="Y"/>
    <s v="Y"/>
    <x v="25"/>
    <s v="TAICH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2.93"/>
    <n v="1011.77"/>
    <n v="1006.51"/>
    <n v="1123.3"/>
    <n v="0"/>
    <n v="0"/>
    <n v="852.93"/>
    <n v="1011.77"/>
    <n v="1006.51"/>
    <n v="1123.3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MAR"/>
    <s v="T"/>
    <m/>
    <s v="S"/>
    <s v="46D21H"/>
    <n v="970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942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JVH)-TWKHH-(MD3)-KRPUS-(AX1)-MXZLO-(MAR)"/>
    <s v="60D15H"/>
    <n v="1"/>
    <s v="DR"/>
    <s v="D"/>
    <s v="Y"/>
    <s v="Y"/>
    <x v="25"/>
    <s v="TAICH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61.75"/>
    <n v="1131.6500000000001"/>
    <n v="1131.78"/>
    <n v="1186.83"/>
    <n v="0"/>
    <n v="0"/>
    <n v="961.75"/>
    <n v="1131.6500000000001"/>
    <n v="1131.78"/>
    <n v="1186.83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s v="T"/>
    <m/>
    <s v="S"/>
    <s v="58D21H"/>
    <n v="1170"/>
    <s v="2018-09-29"/>
    <s v="Historical averaged cost."/>
    <n v="94.672120000000007"/>
    <n v="129.36823000000001"/>
    <n v="129.36823000000001"/>
    <n v="129.36823000000001"/>
    <n v="0"/>
    <n v="0"/>
    <n v="144.44219000000001"/>
    <n v="144.44219000000001"/>
    <n v="144.44219000000001"/>
    <n v="144.44219000000001"/>
    <n v="0"/>
    <n v="0"/>
    <n v="162.893"/>
    <n v="162.893"/>
    <n v="162.893"/>
    <n v="149.82300000000001"/>
    <n v="0"/>
    <n v="0"/>
    <n v="0"/>
    <n v="0"/>
    <n v="0"/>
    <n v="0"/>
    <n v="0"/>
    <n v="0"/>
    <n v="313.37809099999998"/>
    <n v="356.77415960000002"/>
    <n v="356.77415960000002"/>
    <n v="356.7741596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942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JVH)-TWKHH-(MD3)-KRPUS-(AX1)-MXLZC-(MAR)"/>
    <s v="60D15H"/>
    <n v="1"/>
    <s v="DR"/>
    <s v="D"/>
    <s v="Y"/>
    <s v="Y"/>
    <x v="25"/>
    <s v="TAICH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42.6500000000001"/>
    <n v="1312.55"/>
    <n v="1312.68"/>
    <n v="1325.97"/>
    <n v="0"/>
    <n v="0"/>
    <n v="1142.6500000000001"/>
    <n v="1312.55"/>
    <n v="1312.68"/>
    <n v="1325.97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s v="T"/>
    <m/>
    <s v="S"/>
    <s v="58D21H"/>
    <n v="1170"/>
    <s v="2018-09-29"/>
    <s v="Historical averaged cost."/>
    <n v="94.672120000000007"/>
    <n v="129.36823000000001"/>
    <n v="129.36823000000001"/>
    <n v="129.36823000000001"/>
    <n v="0"/>
    <n v="0"/>
    <n v="144.44219000000001"/>
    <n v="144.44219000000001"/>
    <n v="144.44219000000001"/>
    <n v="144.44219000000001"/>
    <n v="0"/>
    <n v="0"/>
    <n v="162.893"/>
    <n v="162.893"/>
    <n v="162.893"/>
    <n v="149.82300000000001"/>
    <n v="0"/>
    <n v="0"/>
    <n v="0"/>
    <n v="0"/>
    <n v="0"/>
    <n v="0"/>
    <n v="0"/>
    <n v="0"/>
    <n v="494.274091"/>
    <n v="537.67015960000003"/>
    <n v="537.67015960000003"/>
    <n v="495.9101595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942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2"/>
    <s v="E"/>
    <s v="(PS4)-TWKHH-(MD3)-KRPUS-(AX2)-MXLZC-(MAR)"/>
    <s v="55D15H"/>
    <n v="1"/>
    <s v="DR"/>
    <s v="D"/>
    <s v="Y"/>
    <s v="Y"/>
    <x v="25"/>
    <s v="TAICHUNG CITY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69.56"/>
    <n v="1409.01"/>
    <n v="1402.98"/>
    <n v="1530.9"/>
    <n v="0"/>
    <n v="0"/>
    <n v="1169.56"/>
    <n v="1409.01"/>
    <n v="1402.98"/>
    <n v="1530.9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3D21H"/>
    <n v="1140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162.893"/>
    <n v="162.893"/>
    <n v="162.893"/>
    <n v="149.82300000000001"/>
    <n v="0"/>
    <n v="0"/>
    <n v="0"/>
    <n v="0"/>
    <n v="0"/>
    <n v="0"/>
    <n v="0"/>
    <n v="0"/>
    <n v="432.26275900000002"/>
    <n v="508.10896129999998"/>
    <n v="508.10896129999998"/>
    <n v="510.42095929999999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9420007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JVH)-TWKHH-(MD3)-KRPUS-(AX1)-MXZLO-(MAR)"/>
    <s v="61D9H"/>
    <n v="1"/>
    <s v="DR"/>
    <s v="D"/>
    <s v="Y"/>
    <s v="Y"/>
    <x v="26"/>
    <s v="TAOYUAN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7.96"/>
    <n v="1100.6199999999999"/>
    <n v="1084.55"/>
    <n v="1153"/>
    <n v="0"/>
    <n v="0"/>
    <n v="907.96"/>
    <n v="1100.6199999999999"/>
    <n v="1084.55"/>
    <n v="1153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s v="T"/>
    <m/>
    <s v="S"/>
    <s v="59D15H"/>
    <n v="1170"/>
    <s v="2018-09-29"/>
    <s v="Historical averaged cost."/>
    <n v="90.709119999999999"/>
    <n v="125.40523"/>
    <n v="125.40523"/>
    <n v="125.40523"/>
    <n v="0"/>
    <n v="0"/>
    <n v="83.143919999999994"/>
    <n v="83.143919999999994"/>
    <n v="83.143919999999994"/>
    <n v="83.143919999999994"/>
    <n v="0"/>
    <n v="0"/>
    <n v="162.893"/>
    <n v="162.893"/>
    <n v="162.893"/>
    <n v="149.82300000000001"/>
    <n v="0"/>
    <n v="0"/>
    <n v="0"/>
    <n v="0"/>
    <n v="0"/>
    <n v="0"/>
    <n v="0"/>
    <n v="0"/>
    <n v="313.37809099999998"/>
    <n v="356.77415960000002"/>
    <n v="356.77415960000002"/>
    <n v="356.7741596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09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LZC-(MAR)"/>
    <s v="56D9H"/>
    <n v="1"/>
    <s v="DR"/>
    <s v="D"/>
    <s v="Y"/>
    <s v="Y"/>
    <x v="26"/>
    <s v="TAOYUAN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92.44"/>
    <n v="1435.24"/>
    <n v="1413"/>
    <n v="1510.26"/>
    <n v="0"/>
    <n v="0"/>
    <n v="1192.44"/>
    <n v="1435.24"/>
    <n v="1413"/>
    <n v="1510.26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4D15H"/>
    <n v="1140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162.893"/>
    <n v="162.893"/>
    <n v="162.893"/>
    <n v="149.82300000000001"/>
    <n v="0"/>
    <n v="0"/>
    <n v="0"/>
    <n v="0"/>
    <n v="0"/>
    <n v="0"/>
    <n v="0"/>
    <n v="0"/>
    <n v="505.68600199999997"/>
    <n v="562.12425459999997"/>
    <n v="562.12425459999997"/>
    <n v="520.36425459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09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2"/>
    <s v="E"/>
    <s v="(JVH)-TWKHH-(MD3)-KRPUS-(AX2)-MXLZC-(MAR)"/>
    <s v="61D9H"/>
    <n v="1"/>
    <s v="DR"/>
    <s v="D"/>
    <s v="Y"/>
    <s v="Y"/>
    <x v="26"/>
    <s v="TAOYUAN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15.44"/>
    <n v="1227.5"/>
    <n v="1211.43"/>
    <n v="1282.2"/>
    <n v="0"/>
    <n v="0"/>
    <n v="1015.44"/>
    <n v="1227.5"/>
    <n v="1211.43"/>
    <n v="1282.2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s v="T"/>
    <m/>
    <s v="S"/>
    <s v="59D15H"/>
    <n v="1170"/>
    <s v="2018-09-29"/>
    <s v="Historical averaged cost."/>
    <n v="90.709119999999999"/>
    <n v="125.40523"/>
    <n v="125.40523"/>
    <n v="125.40523"/>
    <n v="0"/>
    <n v="0"/>
    <n v="83.143919999999994"/>
    <n v="83.143919999999994"/>
    <n v="83.143919999999994"/>
    <n v="83.143919999999994"/>
    <n v="0"/>
    <n v="0"/>
    <n v="162.893"/>
    <n v="162.893"/>
    <n v="162.893"/>
    <n v="149.82300000000001"/>
    <n v="0"/>
    <n v="0"/>
    <n v="0"/>
    <n v="0"/>
    <n v="0"/>
    <n v="0"/>
    <n v="0"/>
    <n v="0"/>
    <n v="420.85084799999998"/>
    <n v="483.65486629999998"/>
    <n v="483.65486629999998"/>
    <n v="485.96686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09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JVH)-TWKHH-(MD3)-KRPUS-(AX1)-MXLZC-(MAR)"/>
    <s v="61D9H"/>
    <n v="1"/>
    <s v="DR"/>
    <s v="D"/>
    <s v="Y"/>
    <s v="Y"/>
    <x v="26"/>
    <s v="TAOYUAN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88.8599999999999"/>
    <n v="1281.52"/>
    <n v="1265.44"/>
    <n v="1292.1400000000001"/>
    <n v="0"/>
    <n v="0"/>
    <n v="1088.8599999999999"/>
    <n v="1281.52"/>
    <n v="1265.44"/>
    <n v="1292.1400000000001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MAR"/>
    <s v="T"/>
    <m/>
    <s v="S"/>
    <s v="59D15H"/>
    <n v="1170"/>
    <s v="2018-09-29"/>
    <s v="Historical averaged cost."/>
    <n v="90.709119999999999"/>
    <n v="125.40523"/>
    <n v="125.40523"/>
    <n v="125.40523"/>
    <n v="0"/>
    <n v="0"/>
    <n v="83.143919999999994"/>
    <n v="83.143919999999994"/>
    <n v="83.143919999999994"/>
    <n v="83.143919999999994"/>
    <n v="0"/>
    <n v="0"/>
    <n v="162.893"/>
    <n v="162.893"/>
    <n v="162.893"/>
    <n v="149.82300000000001"/>
    <n v="0"/>
    <n v="0"/>
    <n v="0"/>
    <n v="0"/>
    <n v="0"/>
    <n v="0"/>
    <n v="0"/>
    <n v="0"/>
    <n v="494.274091"/>
    <n v="537.67015960000003"/>
    <n v="537.67015960000003"/>
    <n v="495.9101595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09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2"/>
    <s v="E"/>
    <s v="(PS4)-TWKHH-(MD3)-KRPUS-(AX2)-MXLZC-(MAR)"/>
    <s v="56D9H"/>
    <n v="1"/>
    <s v="DR"/>
    <s v="D"/>
    <s v="Y"/>
    <s v="Y"/>
    <x v="26"/>
    <s v="TAOYUAN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19.02"/>
    <n v="1381.22"/>
    <n v="1358.99"/>
    <n v="1500.32"/>
    <n v="0"/>
    <n v="0"/>
    <n v="1119.02"/>
    <n v="1381.22"/>
    <n v="1358.99"/>
    <n v="1500.32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4D15H"/>
    <n v="1140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162.893"/>
    <n v="162.893"/>
    <n v="162.893"/>
    <n v="149.82300000000001"/>
    <n v="0"/>
    <n v="0"/>
    <n v="0"/>
    <n v="0"/>
    <n v="0"/>
    <n v="0"/>
    <n v="0"/>
    <n v="0"/>
    <n v="432.26275900000002"/>
    <n v="508.10896129999998"/>
    <n v="508.10896129999998"/>
    <n v="510.42095929999999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090007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ZLO-(MAR)"/>
    <s v="56D9H"/>
    <n v="1"/>
    <s v="DR"/>
    <s v="D"/>
    <s v="Y"/>
    <s v="Y"/>
    <x v="26"/>
    <s v="TAOYUAN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11.54"/>
    <n v="1254.3399999999999"/>
    <n v="1232.1099999999999"/>
    <n v="1371.12"/>
    <n v="0"/>
    <n v="0"/>
    <n v="1011.54"/>
    <n v="1254.3399999999999"/>
    <n v="1232.1099999999999"/>
    <n v="1371.12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MAR"/>
    <s v="T"/>
    <m/>
    <s v="S"/>
    <s v="54D15H"/>
    <n v="1140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162.893"/>
    <n v="162.893"/>
    <n v="162.893"/>
    <n v="149.82300000000001"/>
    <n v="0"/>
    <n v="0"/>
    <n v="0"/>
    <n v="0"/>
    <n v="0"/>
    <n v="0"/>
    <n v="0"/>
    <n v="0"/>
    <n v="324.79000200000002"/>
    <n v="381.22825460000001"/>
    <n v="381.22825460000001"/>
    <n v="381.22825460000001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09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MAR)"/>
    <s v="49D9H"/>
    <n v="1"/>
    <s v="DR"/>
    <s v="D"/>
    <s v="Y"/>
    <s v="Y"/>
    <x v="26"/>
    <s v="TAOYUAN"/>
    <x v="14"/>
    <s v="KEELU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2.38"/>
    <n v="983.98"/>
    <n v="962.52"/>
    <n v="1092.71"/>
    <n v="0"/>
    <n v="0"/>
    <n v="802.38"/>
    <n v="983.98"/>
    <n v="962.52"/>
    <n v="1092.71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MAR"/>
    <s v="T"/>
    <m/>
    <s v="S"/>
    <s v="47D15H"/>
    <n v="970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09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MAR)"/>
    <s v="43D9H"/>
    <n v="1"/>
    <s v="DR"/>
    <s v="D"/>
    <s v="Y"/>
    <s v="Y"/>
    <x v="27"/>
    <s v="WUHAN, HUBEI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70.31"/>
    <n v="1465.53"/>
    <n v="1521.65"/>
    <n v="1822.33"/>
    <n v="0"/>
    <n v="0"/>
    <n v="1070.31"/>
    <n v="1465.53"/>
    <n v="1521.65"/>
    <n v="1822.33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1"/>
    <s v="MAR"/>
    <s v="F"/>
    <m/>
    <s v="S"/>
    <s v="41D16H"/>
    <n v="800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702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2"/>
    <s v="E"/>
    <s v="(AX2)-MXLZC-(MAR)"/>
    <s v="49D9H"/>
    <n v="1"/>
    <s v="DR"/>
    <s v="D"/>
    <s v="Y"/>
    <s v="Y"/>
    <x v="27"/>
    <s v="WUHAN, HUBEI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35.51"/>
    <n v="1534.8"/>
    <n v="1590.27"/>
    <n v="1898.5"/>
    <n v="0"/>
    <n v="0"/>
    <n v="1135.51"/>
    <n v="1534.8"/>
    <n v="1590.27"/>
    <n v="1898.5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2"/>
    <s v="MAR"/>
    <s v="F"/>
    <m/>
    <s v="S"/>
    <s v="47D15H"/>
    <n v="915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702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3"/>
    <s v="E"/>
    <s v="(AX3)-MXZLO-(MAR)"/>
    <s v="44D9H"/>
    <n v="1"/>
    <s v="DR"/>
    <s v="D"/>
    <s v="Y"/>
    <s v="Y"/>
    <x v="27"/>
    <s v="WUHAN, HUBEI"/>
    <x v="3"/>
    <s v="SHANGHAI, SHANGHAI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71.71"/>
    <n v="1467.61"/>
    <n v="1523.62"/>
    <n v="1825.56"/>
    <n v="0"/>
    <n v="0"/>
    <n v="1071.71"/>
    <n v="1467.61"/>
    <n v="1523.62"/>
    <n v="1825.56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3"/>
    <s v="MAR"/>
    <s v="F"/>
    <m/>
    <s v="S"/>
    <s v="42D16H"/>
    <n v="828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702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2"/>
    <s v="E"/>
    <s v="(AX2)-MXLZC-(MAR)"/>
    <s v="39D3H"/>
    <n v="1"/>
    <s v="DR"/>
    <s v="D"/>
    <s v="Y"/>
    <s v="Y"/>
    <x v="28"/>
    <s v="XIAMEN, FUJIAN"/>
    <x v="11"/>
    <s v="XIAMEN, FUJIA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98"/>
    <n v="872.24"/>
    <n v="852.62"/>
    <n v="1143.1400000000001"/>
    <n v="0"/>
    <n v="0"/>
    <n v="707.98"/>
    <n v="872.24"/>
    <n v="852.62"/>
    <n v="1143.1400000000001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2"/>
    <s v="MAR"/>
    <m/>
    <m/>
    <s v="S"/>
    <s v="37D16H"/>
    <n v="859"/>
    <s v="2018-09-29"/>
    <s v="Historical averaged cost."/>
    <n v="74.504000000000005"/>
    <n v="111.32866"/>
    <n v="111.32866"/>
    <n v="138.17556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087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2"/>
    <s v="E"/>
    <s v="(AX2)-MXLZC-(MAR)"/>
    <s v="37D18H"/>
    <n v="1"/>
    <s v="DR"/>
    <s v="D"/>
    <s v="Y"/>
    <s v="Y"/>
    <x v="29"/>
    <s v="XI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2.59"/>
    <n v="766.39"/>
    <n v="1151.77"/>
    <n v="1126.69"/>
    <n v="0"/>
    <n v="0"/>
    <n v="912.59"/>
    <n v="766.39"/>
    <n v="1151.77"/>
    <n v="1126.69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6D0H"/>
    <n v="782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06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2H"/>
    <n v="2"/>
    <s v="DR"/>
    <s v="D"/>
    <s v="Y"/>
    <s v="Y"/>
    <x v="29"/>
    <s v="XI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1.39"/>
    <n v="717.92"/>
    <n v="1102.8599999999999"/>
    <n v="1082.81"/>
    <n v="0"/>
    <n v="0"/>
    <n v="861.39"/>
    <n v="717.92"/>
    <n v="1102.8599999999999"/>
    <n v="1082.81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8H"/>
    <n v="884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06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7D18H"/>
    <n v="3"/>
    <s v="DR"/>
    <s v="D"/>
    <s v="Y"/>
    <s v="Y"/>
    <x v="29"/>
    <s v="XI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14.57"/>
    <n v="911.09"/>
    <n v="1296.47"/>
    <n v="1276.01"/>
    <n v="0"/>
    <n v="0"/>
    <n v="1014.57"/>
    <n v="911.09"/>
    <n v="1296.47"/>
    <n v="1276.01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MAR"/>
    <s v="F"/>
    <m/>
    <s v="T"/>
    <s v="36D0H"/>
    <n v="797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06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3D17H"/>
    <n v="1"/>
    <s v="DR"/>
    <s v="D"/>
    <s v="Y"/>
    <s v="Y"/>
    <x v="29"/>
    <s v="XIAOLAN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6.31"/>
    <n v="677.33"/>
    <n v="1062.05"/>
    <n v="1037.5899999999999"/>
    <n v="0"/>
    <n v="0"/>
    <n v="866.31"/>
    <n v="677.33"/>
    <n v="1062.05"/>
    <n v="1037.5899999999999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1D24H"/>
    <n v="873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06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9D7H"/>
    <n v="1"/>
    <s v="DR"/>
    <s v="D"/>
    <s v="Y"/>
    <s v="Y"/>
    <x v="29"/>
    <s v="XIAOLAN, GUANGDONG"/>
    <x v="9"/>
    <s v="SHEKOU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15.51"/>
    <n v="763.93"/>
    <n v="1149.2"/>
    <n v="1109.0899999999999"/>
    <n v="0"/>
    <n v="0"/>
    <n v="915.51"/>
    <n v="763.93"/>
    <n v="1149.2"/>
    <n v="1109.0899999999999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7D14H"/>
    <n v="814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06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2D2H"/>
    <n v="2"/>
    <s v="DR"/>
    <s v="D"/>
    <s v="Y"/>
    <s v="Y"/>
    <x v="29"/>
    <s v="XIAOL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42.29"/>
    <n v="898.81"/>
    <n v="1283.75"/>
    <n v="1221.95"/>
    <n v="0"/>
    <n v="0"/>
    <n v="1042.29"/>
    <n v="898.81"/>
    <n v="1283.75"/>
    <n v="1221.9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8H"/>
    <n v="884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06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BHX)-KRPUS-(AX1)-MXZLO-(MAR)"/>
    <s v="38D3H"/>
    <n v="2"/>
    <s v="DR"/>
    <s v="D"/>
    <s v="Y"/>
    <s v="Y"/>
    <x v="30"/>
    <s v="XINGANG, TIANJIN"/>
    <x v="19"/>
    <s v="XINGANG, TIANJI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5.42"/>
    <n v="927.83"/>
    <n v="913.08"/>
    <n v="1026.0899999999999"/>
    <n v="0"/>
    <n v="0"/>
    <n v="715.42"/>
    <n v="927.83"/>
    <n v="913.08"/>
    <n v="1026.0899999999999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3.6"/>
    <n v="716.86"/>
    <n v="716.86"/>
    <n v="0"/>
    <n v="0"/>
    <n v="0"/>
    <m/>
    <m/>
    <m/>
    <m/>
    <m/>
    <m/>
    <m/>
    <m/>
    <m/>
    <m/>
    <m/>
    <m/>
    <s v="BHX"/>
    <s v="MAR"/>
    <m/>
    <m/>
    <s v="S"/>
    <s v="36D15H"/>
    <n v="819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798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4"/>
    <x v="17"/>
    <x v="17"/>
    <x v="0"/>
    <x v="0"/>
    <x v="0"/>
    <m/>
    <m/>
    <m/>
    <m/>
    <m/>
    <m/>
  </r>
  <r>
    <s v="LW"/>
    <s v="LWE"/>
    <s v="LWT"/>
    <s v="LW"/>
    <s v="AX2"/>
    <s v="E"/>
    <s v="(BHX)-KRPUS-(AX2)-MXLZC-(MAR)"/>
    <s v="38D3H"/>
    <n v="1"/>
    <s v="DR"/>
    <s v="D"/>
    <s v="Y"/>
    <s v="Y"/>
    <x v="30"/>
    <s v="XINGANG, TIANJIN"/>
    <x v="19"/>
    <s v="XINGANG, TIANJI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2.9"/>
    <n v="1054.71"/>
    <n v="1039.96"/>
    <n v="1155.29"/>
    <n v="0"/>
    <n v="0"/>
    <n v="822.9"/>
    <n v="1054.71"/>
    <n v="1039.96"/>
    <n v="1155.29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3.6"/>
    <n v="716.86"/>
    <n v="716.86"/>
    <n v="0"/>
    <n v="0"/>
    <n v="0"/>
    <m/>
    <m/>
    <m/>
    <m/>
    <m/>
    <m/>
    <m/>
    <m/>
    <m/>
    <m/>
    <m/>
    <m/>
    <s v="BHX"/>
    <s v="MAR"/>
    <m/>
    <m/>
    <s v="S"/>
    <s v="36D15H"/>
    <n v="819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336.56647099999998"/>
    <n v="399.30848930000002"/>
    <n v="399.30848930000002"/>
    <n v="401.62048729999998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798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4"/>
    <x v="17"/>
    <x v="17"/>
    <x v="0"/>
    <x v="0"/>
    <x v="0"/>
    <m/>
    <m/>
    <m/>
    <m/>
    <m/>
    <m/>
  </r>
  <r>
    <s v="LW"/>
    <s v="LWE"/>
    <s v="LWT"/>
    <s v="LW"/>
    <s v="AX3"/>
    <s v="E"/>
    <s v="(BHX)-KRPUS-(AX3)-MXZLO-(MAR)"/>
    <s v="38D3H"/>
    <n v="2"/>
    <s v="DR"/>
    <s v="D"/>
    <s v="Y"/>
    <s v="Y"/>
    <x v="30"/>
    <s v="XINGANG, TIANJIN"/>
    <x v="19"/>
    <s v="XINGANG, TIANJI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5.42"/>
    <n v="927.83"/>
    <n v="913.08"/>
    <n v="1026.0899999999999"/>
    <n v="0"/>
    <n v="0"/>
    <n v="715.42"/>
    <n v="927.83"/>
    <n v="913.08"/>
    <n v="1026.0899999999999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3.6"/>
    <n v="716.86"/>
    <n v="716.86"/>
    <n v="0"/>
    <n v="0"/>
    <n v="0"/>
    <m/>
    <m/>
    <m/>
    <m/>
    <m/>
    <m/>
    <m/>
    <m/>
    <m/>
    <m/>
    <m/>
    <m/>
    <s v="BHX"/>
    <s v="MAR"/>
    <m/>
    <m/>
    <s v="S"/>
    <s v="36D15H"/>
    <n v="819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798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4"/>
    <x v="17"/>
    <x v="17"/>
    <x v="0"/>
    <x v="0"/>
    <x v="0"/>
    <m/>
    <m/>
    <m/>
    <m/>
    <m/>
    <m/>
  </r>
  <r>
    <s v="LW"/>
    <s v="LWE"/>
    <s v="LWT"/>
    <s v="LW"/>
    <s v="AX1"/>
    <s v="E"/>
    <s v="(7K3)-KRPUS-(AX1)-MXZLO-(MAR)"/>
    <s v="41D3H"/>
    <n v="1"/>
    <s v="DR"/>
    <s v="D"/>
    <s v="Y"/>
    <s v="Y"/>
    <x v="30"/>
    <s v="XINGANG, TIANJIN"/>
    <x v="19"/>
    <s v="XINGANG, TIANJIN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6.15"/>
    <n v="854.47"/>
    <n v="839.39"/>
    <n v="827.14"/>
    <n v="0"/>
    <n v="0"/>
    <n v="656.15"/>
    <n v="854.47"/>
    <n v="839.39"/>
    <n v="827.14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493.6"/>
    <n v="716.86"/>
    <n v="716.86"/>
    <n v="0"/>
    <n v="0"/>
    <n v="0"/>
    <m/>
    <m/>
    <m/>
    <m/>
    <m/>
    <m/>
    <m/>
    <m/>
    <m/>
    <m/>
    <m/>
    <m/>
    <s v="7K3"/>
    <s v="MAR"/>
    <m/>
    <m/>
    <s v="S"/>
    <s v="39D15H"/>
    <n v="910"/>
    <s v="2018-09-29"/>
    <s v="Historical averaged cost."/>
    <n v="0.11"/>
    <n v="0.16500000000000001"/>
    <n v="0.16500000000000001"/>
    <n v="0.16500000000000001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77.26785699999999"/>
    <n v="198.93789129999999"/>
    <n v="198.93789129999999"/>
    <n v="198.93789129999999"/>
    <n v="0"/>
    <n v="0"/>
    <n v="59.09"/>
    <n v="100"/>
    <n v="100"/>
    <n v="1"/>
    <n v="0"/>
    <n v="0"/>
    <n v="0"/>
    <n v="0"/>
    <n v="0"/>
    <n v="0"/>
    <n v="0"/>
    <n v="0"/>
    <n v="57.4"/>
    <n v="85.28"/>
    <n v="80.77"/>
    <n v="132.43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61798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4"/>
    <x v="17"/>
    <x v="17"/>
    <x v="0"/>
    <x v="0"/>
    <x v="0"/>
    <m/>
    <m/>
    <m/>
    <m/>
    <m/>
    <m/>
  </r>
  <r>
    <s v="LW"/>
    <s v="LWE"/>
    <s v="LWT"/>
    <s v="LW"/>
    <s v="AX1"/>
    <s v="E"/>
    <s v="(AX1)-MXLZC-(MAR)"/>
    <s v="42D0H"/>
    <n v="2"/>
    <s v="DR"/>
    <s v="D"/>
    <s v="Y"/>
    <s v="Y"/>
    <x v="31"/>
    <s v="YANTI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66.32"/>
    <n v="1339.16"/>
    <n v="1332.42"/>
    <n v="1477.15"/>
    <n v="0"/>
    <n v="0"/>
    <n v="1066.32"/>
    <n v="1339.16"/>
    <n v="1332.42"/>
    <n v="1477.15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6H"/>
    <n v="884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162.893"/>
    <n v="162.893"/>
    <n v="162.893"/>
    <n v="149.82300000000001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108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0H"/>
    <n v="2"/>
    <s v="DR"/>
    <s v="D"/>
    <s v="Y"/>
    <s v="Y"/>
    <x v="31"/>
    <s v="YANTI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5.42"/>
    <n v="1158.27"/>
    <n v="1151.52"/>
    <n v="1338.01"/>
    <n v="0"/>
    <n v="0"/>
    <n v="885.42"/>
    <n v="1158.27"/>
    <n v="1151.52"/>
    <n v="1338.01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s v="F"/>
    <m/>
    <s v="S"/>
    <s v="40D6H"/>
    <n v="884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108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39D11H"/>
    <n v="1"/>
    <s v="DR"/>
    <s v="D"/>
    <s v="Y"/>
    <s v="Y"/>
    <x v="31"/>
    <s v="YANTIAN, GUANGDONG"/>
    <x v="8"/>
    <s v="YANTIAN, GUANGD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8.55"/>
    <n v="972.84"/>
    <n v="966.42"/>
    <n v="1140.51"/>
    <n v="0"/>
    <n v="0"/>
    <n v="758.55"/>
    <n v="972.84"/>
    <n v="966.42"/>
    <n v="1140.51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MAR"/>
    <m/>
    <m/>
    <s v="S"/>
    <s v="37D24H"/>
    <n v="873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162.893"/>
    <n v="162.893"/>
    <n v="162.893"/>
    <n v="149.823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41.81"/>
    <n v="41.81"/>
    <n v="41.81"/>
    <n v="41.81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10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7D16H"/>
    <n v="1"/>
    <s v="DR"/>
    <s v="D"/>
    <s v="Y"/>
    <s v="Y"/>
    <x v="31"/>
    <s v="YANTIAN, GUANGDONG"/>
    <x v="7"/>
    <s v="HONG KONG"/>
    <x v="0"/>
    <s v="ACAJUTLA"/>
    <s v="SVAQJ"/>
    <s v="ACAJUTL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36.61"/>
    <n v="1206.74"/>
    <n v="1200.43"/>
    <n v="1381.89"/>
    <n v="0"/>
    <n v="0"/>
    <n v="936.61"/>
    <n v="1206.74"/>
    <n v="1200.43"/>
    <n v="1381.89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SVAQJ"/>
    <n v="51.940283172999997"/>
    <n v="87.243463865999999"/>
    <n v="118.30411442899999"/>
    <n v="164.26162953799999"/>
    <n v="0"/>
    <n v="0"/>
    <n v="51.940283172999997"/>
    <n v="87.243463865999999"/>
    <n v="118.30411442899999"/>
    <n v="164.26162953799999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MAR"/>
    <s v="F"/>
    <m/>
    <s v="S"/>
    <s v="35D22H"/>
    <n v="782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162.893"/>
    <n v="162.893"/>
    <n v="162.893"/>
    <n v="149.82300000000001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41.81"/>
    <n v="41.81"/>
    <n v="41.81"/>
    <n v="41.81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108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6D22H"/>
    <n v="1"/>
    <s v="DR"/>
    <s v="D"/>
    <s v="Y"/>
    <s v="Y"/>
    <x v="17"/>
    <s v="NINGBO, ZHEJIANG"/>
    <x v="4"/>
    <s v="NINGBO, ZHEJIANG"/>
    <x v="1"/>
    <s v="ANTOFAGASTA"/>
    <s v="CLANF"/>
    <s v="ANTOFAGAST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2.62"/>
    <n v="969.86"/>
    <n v="950.62"/>
    <n v="1001.21"/>
    <n v="0"/>
    <n v="0"/>
    <n v="542.62"/>
    <n v="969.86"/>
    <n v="950.62"/>
    <n v="1001.21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ANF"/>
    <n v="154.960114597"/>
    <n v="355.76508942599997"/>
    <n v="360.86079423000001"/>
    <n v="468.38489921199999"/>
    <n v="0"/>
    <n v="0"/>
    <n v="154.960114597"/>
    <n v="355.76508942599997"/>
    <n v="360.86079423000001"/>
    <n v="468.38489921199999"/>
    <n v="0"/>
    <n v="0"/>
    <m/>
    <m/>
    <m/>
    <m/>
    <m/>
    <m/>
    <n v="0"/>
    <n v="0"/>
    <n v="0"/>
    <n v="0"/>
    <n v="0"/>
    <n v="0"/>
    <m/>
    <m/>
    <m/>
    <m/>
    <m/>
    <m/>
    <m/>
    <m/>
    <m/>
    <m/>
    <m/>
    <m/>
    <s v="AX1"/>
    <s v="AX1"/>
    <m/>
    <m/>
    <s v="S"/>
    <s v="35D10H"/>
    <n v="796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05.17"/>
    <n v="173.86"/>
    <n v="173.8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829950001"/>
    <s v="OPUS"/>
    <m/>
    <m/>
    <m/>
    <x v="0"/>
    <x v="0"/>
    <x v="0"/>
    <m/>
    <m/>
    <m/>
    <x v="1"/>
    <x v="1"/>
    <x v="1"/>
    <x v="1"/>
    <x v="1"/>
    <x v="1"/>
    <m/>
    <m/>
    <m/>
    <m/>
    <m/>
    <m/>
    <x v="10"/>
    <x v="10"/>
    <m/>
    <x v="1"/>
    <x v="1"/>
    <x v="1"/>
    <x v="0"/>
    <x v="0"/>
    <x v="0"/>
    <x v="0"/>
    <x v="0"/>
    <x v="0"/>
    <m/>
    <m/>
    <m/>
    <m/>
    <m/>
    <m/>
  </r>
  <r>
    <s v="LW"/>
    <s v="LWE"/>
    <s v="LWT"/>
    <s v="LW"/>
    <s v="AX1"/>
    <s v="E"/>
    <s v="(AX1)"/>
    <s v="33D2H"/>
    <n v="1"/>
    <s v="DR"/>
    <s v="D"/>
    <s v="Y"/>
    <s v="Y"/>
    <x v="20"/>
    <s v="PUSAN"/>
    <x v="17"/>
    <s v="PUSAN"/>
    <x v="1"/>
    <s v="ANTOFAGASTA"/>
    <s v="CLANF"/>
    <s v="ANTOFAGAST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2.59"/>
    <n v="925.88"/>
    <n v="885.19"/>
    <n v="888.8"/>
    <n v="0"/>
    <n v="0"/>
    <n v="572.59"/>
    <n v="925.88"/>
    <n v="885.19"/>
    <n v="888.8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CLANF"/>
    <n v="154.960114597"/>
    <n v="355.76508942599997"/>
    <n v="360.86079423000001"/>
    <n v="468.38489921199999"/>
    <n v="0"/>
    <n v="0"/>
    <n v="154.960114597"/>
    <n v="355.76508942599997"/>
    <n v="360.86079423000001"/>
    <n v="468.38489921199999"/>
    <n v="0"/>
    <n v="0"/>
    <m/>
    <m/>
    <m/>
    <m/>
    <m/>
    <m/>
    <n v="0"/>
    <n v="0"/>
    <n v="0"/>
    <n v="0"/>
    <n v="0"/>
    <n v="0"/>
    <m/>
    <m/>
    <m/>
    <m/>
    <m/>
    <m/>
    <m/>
    <m/>
    <m/>
    <m/>
    <m/>
    <m/>
    <s v="AX1"/>
    <s v="AX1"/>
    <m/>
    <m/>
    <s v="S"/>
    <s v="31D14H"/>
    <n v="723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105.17"/>
    <n v="173.86"/>
    <n v="173.8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8510001"/>
    <s v="OPUS"/>
    <m/>
    <m/>
    <m/>
    <x v="0"/>
    <x v="0"/>
    <x v="0"/>
    <m/>
    <m/>
    <m/>
    <x v="1"/>
    <x v="1"/>
    <x v="1"/>
    <x v="1"/>
    <x v="1"/>
    <x v="1"/>
    <m/>
    <m/>
    <m/>
    <m/>
    <m/>
    <m/>
    <x v="10"/>
    <x v="10"/>
    <m/>
    <x v="1"/>
    <x v="1"/>
    <x v="1"/>
    <x v="0"/>
    <x v="0"/>
    <x v="0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32"/>
    <s v="CHANGZHOU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5.1"/>
    <n v="874.56"/>
    <n v="965.81"/>
    <n v="680.01"/>
    <n v="0"/>
    <n v="0"/>
    <n v="655.1"/>
    <n v="874.56"/>
    <n v="965.81"/>
    <n v="680.01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1D8H"/>
    <n v="820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43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3D21H"/>
    <n v="1"/>
    <s v="DR"/>
    <s v="D"/>
    <s v="Y"/>
    <s v="Y"/>
    <x v="32"/>
    <s v="CHANGZHOU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6.63"/>
    <n v="867.33"/>
    <n v="958.47"/>
    <n v="685.93"/>
    <n v="0"/>
    <n v="0"/>
    <n v="646.63"/>
    <n v="867.33"/>
    <n v="958.47"/>
    <n v="685.93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43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3D21H"/>
    <n v="3"/>
    <s v="DR"/>
    <s v="D"/>
    <s v="Y"/>
    <s v="Y"/>
    <x v="32"/>
    <s v="CHANGZHOU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8.62"/>
    <n v="1012.03"/>
    <n v="1103.17"/>
    <n v="835.26"/>
    <n v="0"/>
    <n v="0"/>
    <n v="748.62"/>
    <n v="1012.03"/>
    <n v="1103.17"/>
    <n v="835.26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43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TE1)-SGSIN-(CSW)-KRPUS-(AX2)"/>
    <s v="55D3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6.66"/>
    <n v="626.16"/>
    <n v="582.54999999999995"/>
    <n v="4488.6899999999996"/>
    <n v="0"/>
    <n v="0"/>
    <n v="406.66"/>
    <n v="626.16"/>
    <n v="582.54999999999995"/>
    <n v="4488.68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2"/>
    <m/>
    <m/>
    <s v="S"/>
    <s v="53D15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CSW)-KRPUS-(AX3)"/>
    <s v="59D7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4.48"/>
    <n v="716.18"/>
    <n v="672.12"/>
    <n v="4568.99"/>
    <n v="0"/>
    <n v="0"/>
    <n v="474.48"/>
    <n v="716.18"/>
    <n v="672.12"/>
    <n v="4568.99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3"/>
    <m/>
    <m/>
    <s v="S"/>
    <s v="57D19H"/>
    <n v="13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AR1)-KRPUS-(AX2)"/>
    <s v="50D12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3.42"/>
    <n v="690.22"/>
    <n v="647.04999999999995"/>
    <n v="4545.84"/>
    <n v="0"/>
    <n v="0"/>
    <n v="453.42"/>
    <n v="690.22"/>
    <n v="647.04999999999995"/>
    <n v="4545.8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2"/>
    <m/>
    <m/>
    <s v="S"/>
    <s v="49D0H"/>
    <n v="11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AGX)-KRPUS-(AX2)"/>
    <s v="55D3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9.02"/>
    <n v="698.54"/>
    <n v="654.92999999999995"/>
    <n v="4558.76"/>
    <n v="0"/>
    <n v="0"/>
    <n v="459.02"/>
    <n v="698.54"/>
    <n v="654.92999999999995"/>
    <n v="4558.7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2"/>
    <m/>
    <m/>
    <s v="S"/>
    <s v="53D15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AGX)-KRPUS-(AX2)-PAROD-(AX2)"/>
    <s v="57D12H"/>
    <n v="3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21"/>
    <n v="968.78"/>
    <n v="924.84"/>
    <n v="4832.4399999999996"/>
    <n v="0"/>
    <n v="0"/>
    <n v="727.21"/>
    <n v="968.78"/>
    <n v="924.84"/>
    <n v="4832.43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2"/>
    <m/>
    <m/>
    <s v="T"/>
    <s v="56D0H"/>
    <n v="1307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566.57046614000001"/>
    <n v="629.31248444000005"/>
    <n v="629.31248444000005"/>
    <n v="631.62448243999995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2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MD2)-KRPUS-(AX2)"/>
    <s v="50D12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3.42"/>
    <n v="690.22"/>
    <n v="647.04999999999995"/>
    <n v="4545.84"/>
    <n v="0"/>
    <n v="0"/>
    <n v="453.42"/>
    <n v="690.22"/>
    <n v="647.04999999999995"/>
    <n v="4545.8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2"/>
    <m/>
    <m/>
    <s v="S"/>
    <s v="49D0H"/>
    <n v="11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MD3)-KRPUS-(AX2)"/>
    <s v="50D12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3.42"/>
    <n v="690.22"/>
    <n v="647.04999999999995"/>
    <n v="4545.84"/>
    <n v="0"/>
    <n v="0"/>
    <n v="453.42"/>
    <n v="690.22"/>
    <n v="647.04999999999995"/>
    <n v="4545.8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2"/>
    <m/>
    <m/>
    <s v="S"/>
    <s v="49D0H"/>
    <n v="11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AGX)-KRPUS-(AX3)"/>
    <s v="54D16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8.21"/>
    <n v="637.77"/>
    <n v="594.16"/>
    <n v="4483.67"/>
    <n v="0"/>
    <n v="0"/>
    <n v="418.21"/>
    <n v="637.77"/>
    <n v="594.16"/>
    <n v="4483.6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3"/>
    <m/>
    <m/>
    <s v="S"/>
    <s v="53D4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CSW)-KRPUS-(AX3)"/>
    <s v="54D16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8.88"/>
    <n v="707.86"/>
    <n v="664.24"/>
    <n v="4556.07"/>
    <n v="0"/>
    <n v="0"/>
    <n v="468.88"/>
    <n v="707.86"/>
    <n v="664.24"/>
    <n v="4556.0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3"/>
    <m/>
    <m/>
    <s v="S"/>
    <s v="53D4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1)-KRPUS-(AX3)"/>
    <s v="54D16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8.21"/>
    <n v="637.77"/>
    <n v="594.16"/>
    <n v="4483.67"/>
    <n v="0"/>
    <n v="0"/>
    <n v="418.21"/>
    <n v="637.77"/>
    <n v="594.16"/>
    <n v="4483.6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3"/>
    <m/>
    <m/>
    <s v="S"/>
    <s v="53D4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2)-KRPUS-(AX3)"/>
    <s v="54D16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8.21"/>
    <n v="637.77"/>
    <n v="594.16"/>
    <n v="4483.67"/>
    <n v="0"/>
    <n v="0"/>
    <n v="418.21"/>
    <n v="637.77"/>
    <n v="594.16"/>
    <n v="4483.6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3"/>
    <m/>
    <m/>
    <s v="S"/>
    <s v="53D4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3)-KRPUS-(AX3)"/>
    <s v="54D16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8.21"/>
    <n v="637.77"/>
    <n v="594.16"/>
    <n v="4483.67"/>
    <n v="0"/>
    <n v="0"/>
    <n v="418.21"/>
    <n v="637.77"/>
    <n v="594.16"/>
    <n v="4483.6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3"/>
    <m/>
    <m/>
    <s v="S"/>
    <s v="53D4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CSW)-KRPUS-(AX2)"/>
    <s v="50D12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1.06"/>
    <n v="617.84"/>
    <n v="574.66999999999996"/>
    <n v="4475.7700000000004"/>
    <n v="0"/>
    <n v="0"/>
    <n v="401.06"/>
    <n v="617.84"/>
    <n v="574.66999999999996"/>
    <n v="4475.77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2"/>
    <m/>
    <m/>
    <s v="S"/>
    <s v="49D0H"/>
    <n v="11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ACE)-KRPUS-(AX2)"/>
    <s v="48D10H"/>
    <n v="1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0.86"/>
    <n v="580.49"/>
    <n v="537.65"/>
    <n v="4438.42"/>
    <n v="0"/>
    <n v="0"/>
    <n v="340.86"/>
    <n v="580.49"/>
    <n v="537.65"/>
    <n v="4438.42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ACE"/>
    <s v="AX2"/>
    <m/>
    <m/>
    <s v="S"/>
    <s v="46D22H"/>
    <n v="1078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94.21835999999999"/>
    <n v="261.82528194999998"/>
    <n v="261.82528194999998"/>
    <n v="269.90393649999999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ACE)-KRPUS-(AX3)"/>
    <s v="52D14H"/>
    <n v="1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0.21"/>
    <n v="603.65"/>
    <n v="560.25"/>
    <n v="4453.0200000000004"/>
    <n v="0"/>
    <n v="0"/>
    <n v="360.21"/>
    <n v="603.65"/>
    <n v="560.25"/>
    <n v="4453.02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ACE"/>
    <s v="AX3"/>
    <m/>
    <m/>
    <s v="S"/>
    <s v="51D2H"/>
    <n v="1178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96.69705300000001"/>
    <n v="265.27017525000002"/>
    <n v="265.27017525000002"/>
    <n v="271.03683180000002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MD1)-KRPUS-(AX2)"/>
    <s v="50D12H"/>
    <n v="1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3.42"/>
    <n v="690.22"/>
    <n v="647.04999999999995"/>
    <n v="4545.84"/>
    <n v="0"/>
    <n v="0"/>
    <n v="453.42"/>
    <n v="690.22"/>
    <n v="647.04999999999995"/>
    <n v="4545.8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2"/>
    <m/>
    <m/>
    <s v="S"/>
    <s v="49D0H"/>
    <n v="11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MD1)-KRPUS-(AX2)"/>
    <s v="55D3H"/>
    <n v="1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9.02"/>
    <n v="698.54"/>
    <n v="654.92999999999995"/>
    <n v="4558.76"/>
    <n v="0"/>
    <n v="0"/>
    <n v="459.02"/>
    <n v="698.54"/>
    <n v="654.92999999999995"/>
    <n v="4558.7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2"/>
    <m/>
    <m/>
    <s v="S"/>
    <s v="53D15H"/>
    <n v="12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MD2)-KRPUS-(AX2)"/>
    <s v="48D3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9.22"/>
    <n v="683.98"/>
    <n v="641.14"/>
    <n v="4536.1499999999996"/>
    <n v="0"/>
    <n v="0"/>
    <n v="449.22"/>
    <n v="683.98"/>
    <n v="641.14"/>
    <n v="4536.14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2"/>
    <m/>
    <m/>
    <s v="S"/>
    <s v="46D15H"/>
    <n v="1071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MD3)-KRPUS-(AX2)"/>
    <s v="48D3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9.22"/>
    <n v="683.98"/>
    <n v="641.14"/>
    <n v="4536.1499999999996"/>
    <n v="0"/>
    <n v="0"/>
    <n v="449.22"/>
    <n v="683.98"/>
    <n v="641.14"/>
    <n v="4536.14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2"/>
    <m/>
    <m/>
    <s v="S"/>
    <s v="46D15H"/>
    <n v="1071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AGX)-KRPUS-(AX3)"/>
    <s v="59D7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3.81"/>
    <n v="646.09"/>
    <n v="602.04"/>
    <n v="4496.59"/>
    <n v="0"/>
    <n v="0"/>
    <n v="423.81"/>
    <n v="646.09"/>
    <n v="602.04"/>
    <n v="4496.59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3"/>
    <m/>
    <m/>
    <s v="S"/>
    <s v="57D19H"/>
    <n v="13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1)-KRPUS-(AX3)"/>
    <s v="59D7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3.81"/>
    <n v="646.09"/>
    <n v="602.04"/>
    <n v="4496.59"/>
    <n v="0"/>
    <n v="0"/>
    <n v="423.81"/>
    <n v="646.09"/>
    <n v="602.04"/>
    <n v="4496.59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3"/>
    <m/>
    <m/>
    <s v="S"/>
    <s v="57D19H"/>
    <n v="13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2)-KRPUS-(AX3)"/>
    <s v="52D7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4.01"/>
    <n v="631.53"/>
    <n v="588.25"/>
    <n v="4473.9799999999996"/>
    <n v="0"/>
    <n v="0"/>
    <n v="414.01"/>
    <n v="631.53"/>
    <n v="588.25"/>
    <n v="4473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3"/>
    <m/>
    <m/>
    <s v="S"/>
    <s v="50D19H"/>
    <n v="1171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3)-KRPUS-(AX3)"/>
    <s v="52D7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4.01"/>
    <n v="631.53"/>
    <n v="588.25"/>
    <n v="4473.9799999999996"/>
    <n v="0"/>
    <n v="0"/>
    <n v="414.01"/>
    <n v="631.53"/>
    <n v="588.25"/>
    <n v="4473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1"/>
    <s v="AX3"/>
    <m/>
    <m/>
    <s v="S"/>
    <s v="50D19H"/>
    <n v="1171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AGX)-KRPUS-(AX2)"/>
    <s v="50D12H"/>
    <n v="2"/>
    <s v="DR"/>
    <s v="D"/>
    <s v="Y"/>
    <s v="Y"/>
    <x v="33"/>
    <s v="CHENNAI"/>
    <x v="1"/>
    <s v="CHENN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3.42"/>
    <n v="690.22"/>
    <n v="647.04999999999995"/>
    <n v="4545.84"/>
    <n v="0"/>
    <n v="0"/>
    <n v="453.42"/>
    <n v="690.22"/>
    <n v="647.04999999999995"/>
    <n v="4545.8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8.53"/>
    <n v="621.13"/>
    <n v="621.13"/>
    <n v="0"/>
    <n v="0"/>
    <n v="0"/>
    <m/>
    <m/>
    <m/>
    <m/>
    <m/>
    <m/>
    <m/>
    <m/>
    <m/>
    <m/>
    <m/>
    <m/>
    <s v="TE2"/>
    <s v="AX2"/>
    <m/>
    <m/>
    <s v="S"/>
    <s v="49D0H"/>
    <n v="1139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551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9"/>
    <x v="18"/>
    <x v="18"/>
    <x v="0"/>
    <x v="0"/>
    <x v="0"/>
    <m/>
    <m/>
    <m/>
    <m/>
    <m/>
    <m/>
  </r>
  <r>
    <s v="LW"/>
    <s v="LWE"/>
    <s v="LWT"/>
    <s v="LW"/>
    <s v="AX2"/>
    <s v="E"/>
    <s v="(BAS)-SGSIN-(CSW)-KRPUS-(AX2)"/>
    <s v="55D6H"/>
    <n v="1"/>
    <s v="DR"/>
    <s v="D"/>
    <s v="Y"/>
    <s v="Y"/>
    <x v="1"/>
    <s v="CHITTAGONG"/>
    <x v="2"/>
    <s v="CHITTAG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4.76"/>
    <n v="602.16"/>
    <n v="1004.75"/>
    <n v="942.5"/>
    <n v="0"/>
    <n v="0"/>
    <n v="374.76"/>
    <n v="602.16"/>
    <n v="1004.75"/>
    <n v="942.5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9.91"/>
    <n v="626.91"/>
    <n v="666.91"/>
    <n v="0"/>
    <n v="0"/>
    <n v="0"/>
    <m/>
    <m/>
    <m/>
    <m/>
    <m/>
    <m/>
    <m/>
    <m/>
    <m/>
    <m/>
    <m/>
    <m/>
    <s v="BAS"/>
    <s v="AX2"/>
    <m/>
    <m/>
    <s v="S"/>
    <s v="53D18H"/>
    <n v="1203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366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2"/>
    <x v="2"/>
    <x v="2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2"/>
    <s v="E"/>
    <s v="(9SX)-SGSIN-(MD3)-KRPUS-(AX2)"/>
    <s v="51D6H"/>
    <n v="2"/>
    <s v="DR"/>
    <s v="D"/>
    <s v="Y"/>
    <s v="Y"/>
    <x v="1"/>
    <s v="CHITTAGONG"/>
    <x v="2"/>
    <s v="CHITTAG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2.06"/>
    <n v="836.76"/>
    <n v="1239.8"/>
    <n v="1205.19"/>
    <n v="0"/>
    <n v="0"/>
    <n v="492.06"/>
    <n v="836.76"/>
    <n v="1239.8"/>
    <n v="1205.19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9.91"/>
    <n v="626.91"/>
    <n v="666.91"/>
    <n v="0"/>
    <n v="0"/>
    <n v="0"/>
    <m/>
    <m/>
    <m/>
    <m/>
    <m/>
    <m/>
    <m/>
    <m/>
    <m/>
    <m/>
    <m/>
    <m/>
    <s v="9SX"/>
    <s v="AX2"/>
    <m/>
    <m/>
    <s v="S"/>
    <s v="49D19H"/>
    <n v="1109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28.11596857000001"/>
    <n v="290.85798686999999"/>
    <n v="290.85798686999999"/>
    <n v="293.16998487000001"/>
    <n v="0"/>
    <n v="0"/>
    <n v="145"/>
    <n v="245"/>
    <n v="245"/>
    <n v="28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366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2"/>
    <x v="2"/>
    <x v="2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2"/>
    <s v="E"/>
    <s v="(9SX)-SGSIN-(CSW)-KRPUS-(AX2)"/>
    <s v="58D6H"/>
    <n v="3"/>
    <s v="DR"/>
    <s v="D"/>
    <s v="Y"/>
    <s v="Y"/>
    <x v="1"/>
    <s v="CHITTAGONG"/>
    <x v="2"/>
    <s v="CHITTAG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9.5"/>
    <n v="778.94"/>
    <n v="1181.2"/>
    <n v="1157.73"/>
    <n v="0"/>
    <n v="0"/>
    <n v="449.5"/>
    <n v="778.94"/>
    <n v="1181.2"/>
    <n v="1157.73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9.91"/>
    <n v="626.91"/>
    <n v="666.91"/>
    <n v="0"/>
    <n v="0"/>
    <n v="0"/>
    <m/>
    <m/>
    <m/>
    <m/>
    <m/>
    <m/>
    <m/>
    <m/>
    <m/>
    <m/>
    <m/>
    <m/>
    <s v="9SX"/>
    <s v="AX2"/>
    <m/>
    <m/>
    <s v="T"/>
    <s v="56D19H"/>
    <n v="1277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75.75882557"/>
    <n v="218.47349356999999"/>
    <n v="218.47349356999999"/>
    <n v="223.09748956999999"/>
    <n v="0"/>
    <n v="0"/>
    <n v="145"/>
    <n v="245"/>
    <n v="245"/>
    <n v="28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366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2"/>
    <x v="2"/>
    <x v="2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3"/>
    <s v="E"/>
    <s v="(AX3)"/>
    <s v="49D1H"/>
    <n v="1"/>
    <s v="DR"/>
    <s v="D"/>
    <s v="Y"/>
    <s v="Y"/>
    <x v="2"/>
    <s v="CHONGQING, CHONGQING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7.30999999999995"/>
    <n v="1530.25"/>
    <n v="1571.84"/>
    <n v="4325.63"/>
    <n v="0"/>
    <n v="0"/>
    <n v="597.30999999999995"/>
    <n v="1530.25"/>
    <n v="1571.84"/>
    <n v="4325.63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7D8H"/>
    <n v="820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81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4D1H"/>
    <n v="1"/>
    <s v="DR"/>
    <s v="D"/>
    <s v="Y"/>
    <s v="Y"/>
    <x v="2"/>
    <s v="CHONGQING, CHONGQING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0.81"/>
    <n v="1621.8"/>
    <n v="1663.94"/>
    <n v="4303.2"/>
    <n v="0"/>
    <n v="0"/>
    <n v="810.81"/>
    <n v="1621.8"/>
    <n v="1663.94"/>
    <n v="4303.2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R"/>
    <m/>
    <s v="S"/>
    <s v="42D7H"/>
    <n v="850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81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9D21H"/>
    <n v="1"/>
    <s v="DR"/>
    <s v="D"/>
    <s v="Y"/>
    <s v="Y"/>
    <x v="2"/>
    <s v="CHONGQING, CHONGQING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8.84"/>
    <n v="1523.02"/>
    <n v="1564.5"/>
    <n v="4331.55"/>
    <n v="0"/>
    <n v="0"/>
    <n v="588.84"/>
    <n v="1523.02"/>
    <n v="1564.5"/>
    <n v="4331.55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8D3H"/>
    <n v="807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81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3D9H"/>
    <n v="1"/>
    <s v="DR"/>
    <s v="D"/>
    <s v="Y"/>
    <s v="Y"/>
    <x v="2"/>
    <s v="CHONGQING, CHONGQING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5.54"/>
    <n v="1589.61"/>
    <n v="1632.96"/>
    <n v="4270.3599999999997"/>
    <n v="0"/>
    <n v="0"/>
    <n v="785.54"/>
    <n v="1589.61"/>
    <n v="1632.96"/>
    <n v="4270.3599999999997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R"/>
    <m/>
    <s v="S"/>
    <s v="31D15H"/>
    <n v="608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81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9D21H"/>
    <n v="3"/>
    <s v="DR"/>
    <s v="D"/>
    <s v="Y"/>
    <s v="Y"/>
    <x v="2"/>
    <s v="CHONGQING, CHONGQING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0.83"/>
    <n v="1667.72"/>
    <n v="1709.2"/>
    <n v="4480.87"/>
    <n v="0"/>
    <n v="0"/>
    <n v="690.83"/>
    <n v="1667.72"/>
    <n v="1709.2"/>
    <n v="4480.87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8D3H"/>
    <n v="807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281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FE5)-SGSIN-(AGX)-KRPUS-(AX2)"/>
    <s v="56D18H"/>
    <n v="2"/>
    <s v="DR"/>
    <s v="D"/>
    <s v="Y"/>
    <s v="Y"/>
    <x v="34"/>
    <s v="COLOMBO"/>
    <x v="20"/>
    <s v="COLOMBO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2.98"/>
    <n v="847.83"/>
    <n v="896.63"/>
    <n v="1189"/>
    <n v="0"/>
    <n v="0"/>
    <n v="522.98"/>
    <n v="847.83"/>
    <n v="896.63"/>
    <n v="118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302"/>
    <n v="484"/>
    <n v="484"/>
    <n v="0"/>
    <n v="0"/>
    <n v="0"/>
    <m/>
    <m/>
    <m/>
    <m/>
    <m/>
    <m/>
    <m/>
    <m/>
    <m/>
    <m/>
    <m/>
    <m/>
    <s v="FE5"/>
    <s v="AX2"/>
    <m/>
    <m/>
    <s v="S"/>
    <s v="55D6H"/>
    <n v="1289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33000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2"/>
    <x v="2"/>
    <x v="2"/>
    <x v="0"/>
    <x v="0"/>
    <x v="0"/>
    <x v="0"/>
    <x v="0"/>
    <x v="0"/>
    <m/>
    <m/>
    <m/>
    <m/>
    <m/>
    <m/>
  </r>
  <r>
    <s v="LW"/>
    <s v="LWE"/>
    <s v="LWT"/>
    <s v="LW"/>
    <s v="AX2"/>
    <s v="E"/>
    <s v="(NCI)-SGSIN-(AGX)-KRPUS-(AX2)"/>
    <s v="54D18H"/>
    <n v="2"/>
    <s v="DR"/>
    <s v="D"/>
    <s v="Y"/>
    <s v="Y"/>
    <x v="34"/>
    <s v="COLOMBO"/>
    <x v="20"/>
    <s v="COLOMBO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1.83000000000004"/>
    <n v="873.92"/>
    <n v="922.93"/>
    <n v="1214.79"/>
    <n v="0"/>
    <n v="0"/>
    <n v="541.83000000000004"/>
    <n v="873.92"/>
    <n v="922.93"/>
    <n v="1214.7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302"/>
    <n v="484"/>
    <n v="484"/>
    <n v="0"/>
    <n v="0"/>
    <n v="0"/>
    <m/>
    <m/>
    <m/>
    <m/>
    <m/>
    <m/>
    <m/>
    <m/>
    <m/>
    <m/>
    <m/>
    <m/>
    <s v="NCI"/>
    <s v="AX2"/>
    <m/>
    <m/>
    <s v="S"/>
    <s v="53D6H"/>
    <n v="1233"/>
    <s v="2018-09-29"/>
    <s v="Historical averaged cost."/>
    <n v="165.93799999999999"/>
    <n v="248.893"/>
    <n v="248.893"/>
    <n v="301.8929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33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2"/>
    <x v="2"/>
    <x v="2"/>
    <x v="0"/>
    <x v="0"/>
    <x v="0"/>
    <x v="0"/>
    <x v="0"/>
    <x v="0"/>
    <m/>
    <m/>
    <m/>
    <m/>
    <m/>
    <m/>
  </r>
  <r>
    <s v="LW"/>
    <s v="LWE"/>
    <s v="LWT"/>
    <s v="LW"/>
    <s v="AX2"/>
    <s v="E"/>
    <s v="(SW2)-SGSIN-(AGX)-KRPUS-(AX2)"/>
    <s v="52D18H"/>
    <n v="2"/>
    <s v="DR"/>
    <s v="D"/>
    <s v="Y"/>
    <s v="Y"/>
    <x v="34"/>
    <s v="COLOMBO"/>
    <x v="20"/>
    <s v="COLOMBO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7.38"/>
    <n v="839.51"/>
    <n v="888.75"/>
    <n v="1176.08"/>
    <n v="0"/>
    <n v="0"/>
    <n v="517.38"/>
    <n v="839.51"/>
    <n v="888.75"/>
    <n v="1176.08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302"/>
    <n v="484"/>
    <n v="484"/>
    <n v="0"/>
    <n v="0"/>
    <n v="0"/>
    <m/>
    <m/>
    <m/>
    <m/>
    <m/>
    <m/>
    <m/>
    <m/>
    <m/>
    <m/>
    <m/>
    <m/>
    <s v="SW2"/>
    <s v="AX2"/>
    <m/>
    <m/>
    <s v="S"/>
    <s v="51D6H"/>
    <n v="1204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33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2"/>
    <x v="2"/>
    <x v="2"/>
    <x v="0"/>
    <x v="0"/>
    <x v="0"/>
    <x v="0"/>
    <x v="0"/>
    <x v="0"/>
    <m/>
    <m/>
    <m/>
    <m/>
    <m/>
    <m/>
  </r>
  <r>
    <s v="LW"/>
    <s v="LWE"/>
    <s v="LWT"/>
    <s v="LW"/>
    <s v="AX2"/>
    <s v="E"/>
    <s v="(TIP)-SGSIN-(AGX)-KRPUS-(AX2)"/>
    <s v="56D18H"/>
    <n v="1"/>
    <s v="DR"/>
    <s v="D"/>
    <s v="Y"/>
    <s v="Y"/>
    <x v="34"/>
    <s v="COLOMBO"/>
    <x v="20"/>
    <s v="COLOMBO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1.91"/>
    <n v="846.02"/>
    <n v="894.82"/>
    <n v="1187.2"/>
    <n v="0"/>
    <n v="0"/>
    <n v="521.91"/>
    <n v="846.02"/>
    <n v="894.82"/>
    <n v="1187.2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302"/>
    <n v="484"/>
    <n v="484"/>
    <n v="0"/>
    <n v="0"/>
    <n v="0"/>
    <m/>
    <m/>
    <m/>
    <m/>
    <m/>
    <m/>
    <m/>
    <m/>
    <m/>
    <m/>
    <m/>
    <m/>
    <s v="TIP"/>
    <s v="AX2"/>
    <m/>
    <m/>
    <s v="S"/>
    <s v="55D7H"/>
    <n v="1288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33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2"/>
    <x v="2"/>
    <x v="2"/>
    <x v="0"/>
    <x v="0"/>
    <x v="0"/>
    <x v="0"/>
    <x v="0"/>
    <x v="0"/>
    <m/>
    <m/>
    <m/>
    <m/>
    <m/>
    <m/>
  </r>
  <r>
    <s v="LW"/>
    <s v="LWE"/>
    <s v="LWT"/>
    <s v="LW"/>
    <s v="AX3"/>
    <s v="E"/>
    <s v="(TIP)-SGSIN-(AGX)-KRPUS-(AX3)"/>
    <s v="60D22H"/>
    <n v="2"/>
    <s v="DR"/>
    <s v="D"/>
    <s v="Y"/>
    <s v="Y"/>
    <x v="34"/>
    <s v="COLOMBO"/>
    <x v="20"/>
    <s v="COLOMBO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1.3"/>
    <n v="666.69"/>
    <n v="721.75"/>
    <n v="928"/>
    <n v="0"/>
    <n v="0"/>
    <n v="401.3"/>
    <n v="666.69"/>
    <n v="721.75"/>
    <n v="928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302"/>
    <n v="484"/>
    <n v="484"/>
    <n v="0"/>
    <n v="0"/>
    <n v="0"/>
    <m/>
    <m/>
    <m/>
    <m/>
    <m/>
    <m/>
    <m/>
    <m/>
    <m/>
    <m/>
    <m/>
    <m/>
    <s v="TIP"/>
    <s v="AX3"/>
    <m/>
    <m/>
    <s v="S"/>
    <s v="59D11H"/>
    <n v="1388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33000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2"/>
    <x v="2"/>
    <x v="2"/>
    <x v="0"/>
    <x v="0"/>
    <x v="0"/>
    <x v="0"/>
    <x v="0"/>
    <x v="0"/>
    <m/>
    <m/>
    <m/>
    <m/>
    <m/>
    <m/>
  </r>
  <r>
    <s v="LW"/>
    <s v="LWE"/>
    <s v="LWT"/>
    <s v="LW"/>
    <s v="AX3"/>
    <s v="E"/>
    <s v="(BF2)-KRPUS-(AX3)"/>
    <s v="38D19H"/>
    <n v="2"/>
    <s v="DR"/>
    <s v="D"/>
    <s v="Y"/>
    <s v="Y"/>
    <x v="35"/>
    <s v="DALIAN, LIAONING"/>
    <x v="21"/>
    <s v="DALIAN, LIAONI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5"/>
    <n v="727.86"/>
    <n v="762.35"/>
    <n v="697.09"/>
    <n v="0"/>
    <n v="0"/>
    <n v="592.5"/>
    <n v="727.86"/>
    <n v="762.35"/>
    <n v="697.09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2.11"/>
    <n v="678.73"/>
    <n v="678.73"/>
    <n v="0"/>
    <n v="0"/>
    <n v="0"/>
    <m/>
    <m/>
    <m/>
    <m/>
    <m/>
    <m/>
    <m/>
    <m/>
    <m/>
    <m/>
    <m/>
    <m/>
    <s v="BF2"/>
    <s v="AX3"/>
    <m/>
    <m/>
    <s v="S"/>
    <s v="37D7H"/>
    <n v="858"/>
    <s v="2018-09-29"/>
    <s v="Historical averaged cost."/>
    <n v="77.800399999999996"/>
    <n v="118.16415000000001"/>
    <n v="118.16415000000001"/>
    <n v="172.66265000000001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243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7"/>
    <x v="19"/>
    <x v="19"/>
    <x v="0"/>
    <x v="0"/>
    <x v="0"/>
    <m/>
    <m/>
    <m/>
    <m/>
    <m/>
    <m/>
  </r>
  <r>
    <s v="LW"/>
    <s v="LWE"/>
    <s v="LWT"/>
    <s v="LW"/>
    <s v="AX2"/>
    <s v="E"/>
    <s v="(BF2)-KRPUS-(AX2)"/>
    <s v="34D15H"/>
    <n v="1"/>
    <s v="DR"/>
    <s v="D"/>
    <s v="Y"/>
    <s v="Y"/>
    <x v="35"/>
    <s v="DALIAN, LIAONING"/>
    <x v="21"/>
    <s v="DALIAN, LIAONI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36"/>
    <n v="707.93"/>
    <n v="742.86"/>
    <n v="689.19"/>
    <n v="0"/>
    <n v="0"/>
    <n v="575.36"/>
    <n v="707.93"/>
    <n v="742.86"/>
    <n v="689.19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2.11"/>
    <n v="678.73"/>
    <n v="678.73"/>
    <n v="0"/>
    <n v="0"/>
    <n v="0"/>
    <m/>
    <m/>
    <m/>
    <m/>
    <m/>
    <m/>
    <m/>
    <m/>
    <m/>
    <m/>
    <m/>
    <m/>
    <s v="BF2"/>
    <s v="AX2"/>
    <m/>
    <m/>
    <s v="S"/>
    <s v="33D3H"/>
    <n v="758"/>
    <s v="2018-09-29"/>
    <s v="Historical averaged cost."/>
    <n v="77.800399999999996"/>
    <n v="118.16415000000001"/>
    <n v="118.16415000000001"/>
    <n v="172.6626500000000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24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7"/>
    <x v="19"/>
    <x v="19"/>
    <x v="0"/>
    <x v="0"/>
    <x v="0"/>
    <m/>
    <m/>
    <m/>
    <m/>
    <m/>
    <m/>
  </r>
  <r>
    <s v="LW"/>
    <s v="LWE"/>
    <s v="LWT"/>
    <s v="LW"/>
    <s v="AX1"/>
    <s v="E"/>
    <s v="(AX1)-MXZLO-(AX2)"/>
    <s v="52D3H"/>
    <n v="1"/>
    <s v="DR"/>
    <s v="D"/>
    <s v="Y"/>
    <s v="Y"/>
    <x v="4"/>
    <s v="FO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6.83"/>
    <n v="1047.9000000000001"/>
    <n v="1109.52"/>
    <n v="797.19"/>
    <n v="0"/>
    <n v="0"/>
    <n v="876.83"/>
    <n v="1047.9000000000001"/>
    <n v="1109.52"/>
    <n v="797.19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50D10H"/>
    <n v="1101"/>
    <s v="2018-09-29"/>
    <s v="Historical averaged cost."/>
    <n v="91.532589999999999"/>
    <n v="135.29938999999999"/>
    <n v="135.29938999999999"/>
    <n v="165.43816000000001"/>
    <n v="0"/>
    <n v="0"/>
    <n v="159.58000000000001"/>
    <n v="236.18"/>
    <n v="236.18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6D21H"/>
    <n v="1"/>
    <s v="DR"/>
    <s v="D"/>
    <s v="Y"/>
    <s v="Y"/>
    <x v="4"/>
    <s v="FOSHAN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3.66999999999996"/>
    <n v="848.44"/>
    <n v="917"/>
    <n v="935.71"/>
    <n v="0"/>
    <n v="0"/>
    <n v="643.66999999999996"/>
    <n v="848.44"/>
    <n v="917"/>
    <n v="935.71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5D3H"/>
    <n v="779"/>
    <s v="2018-09-29"/>
    <s v="Historical averaged cost."/>
    <n v="96.056539999999998"/>
    <n v="143.83482000000001"/>
    <n v="143.83482000000001"/>
    <n v="143.83482000000001"/>
    <n v="0"/>
    <n v="0"/>
    <n v="80.265820000000005"/>
    <n v="112.11733"/>
    <n v="112.11733"/>
    <n v="124.8579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5D2H"/>
    <n v="1"/>
    <s v="DR"/>
    <s v="D"/>
    <s v="Y"/>
    <s v="Y"/>
    <x v="4"/>
    <s v="FOSHAN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4.4"/>
    <n v="712.83"/>
    <n v="781.61"/>
    <n v="775.14"/>
    <n v="0"/>
    <n v="0"/>
    <n v="544.4"/>
    <n v="712.83"/>
    <n v="781.61"/>
    <n v="775.14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3D9H"/>
    <n v="706"/>
    <s v="2018-09-29"/>
    <s v="Historical averaged cost."/>
    <n v="110.87472"/>
    <n v="166.13449"/>
    <n v="166.13449"/>
    <n v="183.10584"/>
    <n v="0"/>
    <n v="0"/>
    <n v="114.66545000000001"/>
    <n v="178.36848000000001"/>
    <n v="178.36848000000001"/>
    <n v="191.10909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7H"/>
    <n v="1"/>
    <s v="DR"/>
    <s v="D"/>
    <s v="Y"/>
    <s v="Y"/>
    <x v="4"/>
    <s v="FOSHA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5.16999999999996"/>
    <n v="706.84"/>
    <n v="775.84"/>
    <n v="789.51"/>
    <n v="0"/>
    <n v="0"/>
    <n v="545.16999999999996"/>
    <n v="706.84"/>
    <n v="775.84"/>
    <n v="789.51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13H"/>
    <n v="674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6D0H"/>
    <n v="1"/>
    <s v="DR"/>
    <s v="D"/>
    <s v="Y"/>
    <s v="Y"/>
    <x v="4"/>
    <s v="FO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.06"/>
    <n v="982.68"/>
    <n v="1050.26"/>
    <n v="862.52"/>
    <n v="0"/>
    <n v="0"/>
    <n v="731.06"/>
    <n v="982.68"/>
    <n v="1050.26"/>
    <n v="862.52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4D7H"/>
    <n v="962"/>
    <s v="2018-09-29"/>
    <s v="Historical averaged cost."/>
    <n v="91.532589999999999"/>
    <n v="135.29938999999999"/>
    <n v="135.29938999999999"/>
    <n v="165.43816000000001"/>
    <n v="0"/>
    <n v="0"/>
    <n v="159.58000000000001"/>
    <n v="236.18"/>
    <n v="236.18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7H"/>
    <n v="3"/>
    <s v="DR"/>
    <s v="D"/>
    <s v="Y"/>
    <s v="Y"/>
    <x v="4"/>
    <s v="FOSHA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7.16"/>
    <n v="851.54"/>
    <n v="920.55"/>
    <n v="938.83"/>
    <n v="0"/>
    <n v="0"/>
    <n v="647.16"/>
    <n v="851.54"/>
    <n v="920.55"/>
    <n v="938.83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13H"/>
    <n v="689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2D0H"/>
    <n v="1"/>
    <s v="DR"/>
    <s v="D"/>
    <s v="Y"/>
    <s v="Y"/>
    <x v="4"/>
    <s v="FO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8.11"/>
    <n v="992.25"/>
    <n v="1059.17"/>
    <n v="841.68"/>
    <n v="0"/>
    <n v="0"/>
    <n v="748.11"/>
    <n v="992.25"/>
    <n v="1059.17"/>
    <n v="841.68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50D6H"/>
    <n v="1087"/>
    <s v="2018-09-29"/>
    <s v="Historical averaged cost."/>
    <n v="91.532589999999999"/>
    <n v="135.29938999999999"/>
    <n v="135.29938999999999"/>
    <n v="165.43816000000001"/>
    <n v="0"/>
    <n v="0"/>
    <n v="159.58000000000001"/>
    <n v="236.18"/>
    <n v="236.18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8D3H"/>
    <n v="2"/>
    <s v="DR"/>
    <s v="D"/>
    <s v="Y"/>
    <s v="Y"/>
    <x v="4"/>
    <s v="FO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8.51"/>
    <n v="963.13"/>
    <n v="1031.5899999999999"/>
    <n v="796.46"/>
    <n v="0"/>
    <n v="0"/>
    <n v="728.51"/>
    <n v="963.13"/>
    <n v="1031.5899999999999"/>
    <n v="796.46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6D10H"/>
    <n v="765"/>
    <s v="2018-09-29"/>
    <s v="Historical averaged cost."/>
    <n v="91.532589999999999"/>
    <n v="135.29938999999999"/>
    <n v="135.29938999999999"/>
    <n v="165.43816000000001"/>
    <n v="0"/>
    <n v="0"/>
    <n v="159.58000000000001"/>
    <n v="236.18"/>
    <n v="236.18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141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2D9H"/>
    <n v="1"/>
    <s v="DR"/>
    <s v="D"/>
    <s v="Y"/>
    <s v="Y"/>
    <x v="5"/>
    <s v="FUZHOU, FUJIAN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7.55"/>
    <n v="761.71"/>
    <n v="738.1"/>
    <n v="933.68"/>
    <n v="0"/>
    <n v="0"/>
    <n v="487.55"/>
    <n v="761.71"/>
    <n v="738.1"/>
    <n v="933.68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52"/>
    <n v="677.41"/>
    <n v="677.41"/>
    <n v="0"/>
    <n v="0"/>
    <n v="0"/>
    <m/>
    <m/>
    <m/>
    <m/>
    <m/>
    <m/>
    <m/>
    <m/>
    <m/>
    <m/>
    <m/>
    <m/>
    <s v="AX2"/>
    <s v="AX2"/>
    <s v="F"/>
    <m/>
    <s v="S"/>
    <s v="30D15H"/>
    <n v="608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"/>
    <n v="66.56"/>
    <n v="63.04"/>
    <n v="103.3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85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AX2)"/>
    <s v="36D13H"/>
    <n v="1"/>
    <s v="DR"/>
    <s v="D"/>
    <s v="Y"/>
    <s v="Y"/>
    <x v="5"/>
    <s v="FUZHOU, FUJIAN"/>
    <x v="11"/>
    <s v="XIAMEN, FUJI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5.87"/>
    <n v="719.56"/>
    <n v="695.4"/>
    <n v="872.42"/>
    <n v="0"/>
    <n v="0"/>
    <n v="465.87"/>
    <n v="719.56"/>
    <n v="695.4"/>
    <n v="872.4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AX2"/>
    <s v="AX2"/>
    <s v="F"/>
    <m/>
    <s v="S"/>
    <s v="34D20H"/>
    <n v="751"/>
    <s v="2018-09-29"/>
    <s v="Historical averaged cost."/>
    <n v="67.504099999999994"/>
    <n v="100.90221"/>
    <n v="100.90221"/>
    <n v="119.59263"/>
    <n v="0"/>
    <n v="0"/>
    <n v="86.636120000000005"/>
    <n v="171.99817999999999"/>
    <n v="171.99817999999999"/>
    <n v="215.31623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85002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AX2)"/>
    <s v="34D21H"/>
    <n v="1"/>
    <s v="DR"/>
    <s v="D"/>
    <s v="Y"/>
    <s v="Y"/>
    <x v="5"/>
    <s v="FUZHOU, FUJIAN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9.89"/>
    <n v="889.65"/>
    <n v="865.71"/>
    <n v="1044.96"/>
    <n v="0"/>
    <n v="0"/>
    <n v="569.89"/>
    <n v="889.65"/>
    <n v="865.71"/>
    <n v="1044.96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AX2"/>
    <s v="AX2"/>
    <s v="F"/>
    <m/>
    <s v="S"/>
    <s v="33D3H"/>
    <n v="674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85003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9CV)-CNXMN-(AX2)-PAROD-(AX2)"/>
    <s v="55D15H"/>
    <n v="3"/>
    <s v="DR"/>
    <s v="D"/>
    <s v="Y"/>
    <s v="Y"/>
    <x v="5"/>
    <s v="FUZHOU, FUJIAN"/>
    <x v="10"/>
    <s v="FUZHOU, FUJI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7.03"/>
    <n v="1112.31"/>
    <n v="1086.06"/>
    <n v="1254.03"/>
    <n v="0"/>
    <n v="0"/>
    <n v="797.03"/>
    <n v="1112.31"/>
    <n v="1086.06"/>
    <n v="1254.03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9CV"/>
    <s v="AX2"/>
    <m/>
    <m/>
    <s v="T"/>
    <s v="54D3H"/>
    <n v="1265"/>
    <s v="2018-09-29"/>
    <s v="Historical averaged cost."/>
    <n v="4"/>
    <n v="4"/>
    <n v="4"/>
    <n v="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19.70270108"/>
    <n v="347.12970396999998"/>
    <n v="347.12970396999998"/>
    <n v="361.13984300999999"/>
    <n v="0"/>
    <n v="0"/>
    <n v="135"/>
    <n v="275"/>
    <n v="275"/>
    <n v="29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56385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5"/>
    <s v="FUZHOU, FUJIAN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2.82000000000005"/>
    <n v="793.9"/>
    <n v="769.08"/>
    <n v="966.52"/>
    <n v="0"/>
    <n v="0"/>
    <n v="512.82000000000005"/>
    <n v="793.9"/>
    <n v="769.08"/>
    <n v="966.5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52"/>
    <n v="677.41"/>
    <n v="677.41"/>
    <n v="0"/>
    <n v="0"/>
    <n v="0"/>
    <m/>
    <m/>
    <m/>
    <m/>
    <m/>
    <m/>
    <m/>
    <m/>
    <m/>
    <m/>
    <m/>
    <m/>
    <s v="AX3"/>
    <s v="AX3"/>
    <s v="F"/>
    <m/>
    <s v="S"/>
    <s v="41D7H"/>
    <n v="850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85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PM2)-HKHKG-(AX2)"/>
    <s v="40D13H"/>
    <n v="3"/>
    <s v="DR"/>
    <s v="D"/>
    <s v="Y"/>
    <s v="Y"/>
    <x v="5"/>
    <s v="FUZHOU, FUJIAN"/>
    <x v="23"/>
    <s v="FUQING, FUJI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5.99"/>
    <n v="834.03"/>
    <n v="809.43"/>
    <n v="1003.73"/>
    <n v="0"/>
    <n v="0"/>
    <n v="565.99"/>
    <n v="834.03"/>
    <n v="809.43"/>
    <n v="1003.73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PM2"/>
    <s v="AX2"/>
    <s v="F"/>
    <m/>
    <s v="T"/>
    <s v="38D19H"/>
    <n v="822"/>
    <s v="2018-09-29"/>
    <s v="Historical averaged cost."/>
    <n v="73.027670000000001"/>
    <n v="109.36441000000001"/>
    <n v="109.36441000000001"/>
    <n v="135.69926000000001"/>
    <n v="0"/>
    <n v="0"/>
    <n v="29.94042"/>
    <n v="49.688360000000003"/>
    <n v="49.688360000000003"/>
    <n v="57.96976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85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3"/>
    <s v="E"/>
    <s v="(8CD)-CNNGB-(AX3)"/>
    <s v="43D19H"/>
    <n v="1"/>
    <s v="DR"/>
    <s v="D"/>
    <s v="Y"/>
    <s v="Y"/>
    <x v="5"/>
    <s v="FUZHOU, FUJIAN"/>
    <x v="10"/>
    <s v="FUZHOU, FUJI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8.96"/>
    <n v="802.59"/>
    <n v="777.66"/>
    <n v="976.37"/>
    <n v="0"/>
    <n v="0"/>
    <n v="518.96"/>
    <n v="802.59"/>
    <n v="777.66"/>
    <n v="976.37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8CD"/>
    <s v="AX3"/>
    <m/>
    <m/>
    <s v="S"/>
    <s v="42D7H"/>
    <n v="1000"/>
    <s v="2018-09-29"/>
    <s v="Historical averaged cost."/>
    <n v="0"/>
    <n v="0"/>
    <n v="0"/>
    <n v="0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6.634135860000001"/>
    <n v="39.451703790000003"/>
    <n v="39.451703790000003"/>
    <n v="53.16777037"/>
    <n v="0"/>
    <n v="0"/>
    <n v="160.93518"/>
    <n v="292.60942"/>
    <n v="292.60942"/>
    <n v="365.76177999999999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85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CSW)-KRPUS-(AX2)"/>
    <s v="34D21H"/>
    <n v="3"/>
    <s v="DR"/>
    <s v="D"/>
    <s v="Y"/>
    <s v="Y"/>
    <x v="5"/>
    <s v="FUZHOU, FUJIAN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1.88"/>
    <n v="1034.3499999999999"/>
    <n v="1010.41"/>
    <n v="1194.29"/>
    <n v="0"/>
    <n v="0"/>
    <n v="671.88"/>
    <n v="1034.3499999999999"/>
    <n v="1010.41"/>
    <n v="1194.2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CSW"/>
    <s v="AX2"/>
    <s v="F"/>
    <m/>
    <s v="T"/>
    <s v="33D3H"/>
    <n v="689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85003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9CV)-CNXMN-(AX2)"/>
    <s v="48D15H"/>
    <n v="2"/>
    <s v="DR"/>
    <s v="D"/>
    <s v="Y"/>
    <s v="Y"/>
    <x v="5"/>
    <s v="FUZHOU, FUJIAN"/>
    <x v="10"/>
    <s v="FUZHOU, FUJI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3.24"/>
    <n v="833.75"/>
    <n v="808.27"/>
    <n v="967.42"/>
    <n v="0"/>
    <n v="0"/>
    <n v="523.24"/>
    <n v="833.75"/>
    <n v="808.27"/>
    <n v="967.4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9CV"/>
    <s v="AX2"/>
    <m/>
    <m/>
    <s v="S"/>
    <s v="47D3H"/>
    <n v="1097"/>
    <s v="2018-09-29"/>
    <s v="Historical averaged cost."/>
    <n v="4"/>
    <n v="4"/>
    <n v="4"/>
    <n v="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55.708701079999997"/>
    <n v="83.135703969999994"/>
    <n v="83.135703969999994"/>
    <n v="97.145843009999993"/>
    <n v="0"/>
    <n v="0"/>
    <n v="135"/>
    <n v="275"/>
    <n v="275"/>
    <n v="29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56385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NZJ)-HKHKG-(AX2)"/>
    <s v="46D2H"/>
    <n v="1"/>
    <s v="DR"/>
    <s v="D"/>
    <s v="Y"/>
    <s v="Y"/>
    <x v="7"/>
    <s v="GAOMING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0.98"/>
    <n v="583.79999999999995"/>
    <n v="962.07"/>
    <n v="802.17"/>
    <n v="0"/>
    <n v="0"/>
    <n v="660.98"/>
    <n v="583.79999999999995"/>
    <n v="962.07"/>
    <n v="802.17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4D9H"/>
    <n v="962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8D13H"/>
    <n v="1"/>
    <s v="DR"/>
    <s v="D"/>
    <s v="Y"/>
    <s v="Y"/>
    <x v="7"/>
    <s v="GAOMING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3.91999999999996"/>
    <n v="501.78"/>
    <n v="880.82"/>
    <n v="681.97"/>
    <n v="0"/>
    <n v="0"/>
    <n v="603.91999999999996"/>
    <n v="501.78"/>
    <n v="880.82"/>
    <n v="681.97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6D19H"/>
    <n v="779"/>
    <s v="2018-09-29"/>
    <s v="Historical averaged cost."/>
    <n v="96.056539999999998"/>
    <n v="143.83482000000001"/>
    <n v="143.83482000000001"/>
    <n v="143.83482000000001"/>
    <n v="0"/>
    <n v="0"/>
    <n v="53.510550000000002"/>
    <n v="86.636120000000005"/>
    <n v="86.636120000000005"/>
    <n v="86.63612000000000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12H"/>
    <n v="3"/>
    <s v="DR"/>
    <s v="D"/>
    <s v="Y"/>
    <s v="Y"/>
    <x v="7"/>
    <s v="GAOMING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9.82000000000005"/>
    <n v="498.98"/>
    <n v="878.57"/>
    <n v="678.04"/>
    <n v="0"/>
    <n v="0"/>
    <n v="609.82000000000005"/>
    <n v="498.98"/>
    <n v="878.57"/>
    <n v="678.04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18H"/>
    <n v="689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2D5H"/>
    <n v="1"/>
    <s v="DR"/>
    <s v="D"/>
    <s v="Y"/>
    <s v="Y"/>
    <x v="7"/>
    <s v="GAOMING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6.75"/>
    <n v="649.02"/>
    <n v="1021.32"/>
    <n v="736.83"/>
    <n v="0"/>
    <n v="0"/>
    <n v="806.75"/>
    <n v="649.02"/>
    <n v="1021.32"/>
    <n v="736.83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50D12H"/>
    <n v="1101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8D5H"/>
    <n v="2"/>
    <s v="DR"/>
    <s v="D"/>
    <s v="Y"/>
    <s v="Y"/>
    <x v="7"/>
    <s v="GAOMING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8.43"/>
    <n v="564.25"/>
    <n v="943.39"/>
    <n v="736.1"/>
    <n v="0"/>
    <n v="0"/>
    <n v="658.43"/>
    <n v="564.25"/>
    <n v="943.39"/>
    <n v="736.1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6D12H"/>
    <n v="765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5D2H"/>
    <n v="1"/>
    <s v="DR"/>
    <s v="D"/>
    <s v="Y"/>
    <s v="Y"/>
    <x v="7"/>
    <s v="GAOMING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7.45"/>
    <n v="291.94"/>
    <n v="671.42"/>
    <n v="444.87"/>
    <n v="0"/>
    <n v="0"/>
    <n v="467.45"/>
    <n v="291.94"/>
    <n v="671.42"/>
    <n v="444.87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3D9H"/>
    <n v="706"/>
    <s v="2018-09-29"/>
    <s v="Historical averaged cost."/>
    <n v="110.87472"/>
    <n v="166.13449"/>
    <n v="166.13449"/>
    <n v="183.10584"/>
    <n v="0"/>
    <n v="0"/>
    <n v="53.510550000000002"/>
    <n v="82.813940000000002"/>
    <n v="82.813940000000002"/>
    <n v="82.8139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12H"/>
    <n v="1"/>
    <s v="DR"/>
    <s v="D"/>
    <s v="Y"/>
    <s v="Y"/>
    <x v="7"/>
    <s v="GAOMING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7.84"/>
    <n v="354.28"/>
    <n v="733.87"/>
    <n v="528.71"/>
    <n v="0"/>
    <n v="0"/>
    <n v="507.84"/>
    <n v="354.28"/>
    <n v="733.87"/>
    <n v="528.71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18H"/>
    <n v="674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2D2H"/>
    <n v="1"/>
    <s v="DR"/>
    <s v="D"/>
    <s v="Y"/>
    <s v="Y"/>
    <x v="7"/>
    <s v="GAOMING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03"/>
    <n v="593.37"/>
    <n v="970.97"/>
    <n v="781.32"/>
    <n v="0"/>
    <n v="0"/>
    <n v="678.03"/>
    <n v="593.37"/>
    <n v="970.97"/>
    <n v="781.32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50D8H"/>
    <n v="1087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646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VH2)-HKHKG-(AX2)-PAROD-(AX3)"/>
    <s v="40D19H"/>
    <n v="3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69"/>
    <n v="1010.1"/>
    <n v="1034.8"/>
    <n v="1041.25"/>
    <n v="0"/>
    <n v="0"/>
    <n v="678.69"/>
    <n v="1010.1"/>
    <n v="1034.8"/>
    <n v="1041.25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2"/>
    <s v="AX3"/>
    <m/>
    <m/>
    <s v="T"/>
    <s v="39D7H"/>
    <n v="921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409.68802975"/>
    <n v="483.99454462"/>
    <n v="483.99454462"/>
    <n v="523.61782926000001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8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3"/>
    <s v="E"/>
    <s v="(VH3)-HKHKG-(KME)-KRPUS-(AX3)"/>
    <s v="44D19H"/>
    <n v="3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7.89"/>
    <n v="978.65"/>
    <n v="1002.92"/>
    <n v="1022.28"/>
    <n v="0"/>
    <n v="0"/>
    <n v="577.89"/>
    <n v="978.65"/>
    <n v="1002.92"/>
    <n v="1022.28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3"/>
    <s v="AX3"/>
    <m/>
    <m/>
    <s v="T"/>
    <s v="43D8H"/>
    <n v="1019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03.28941374999999"/>
    <n v="444.22794291999998"/>
    <n v="444.22794291999998"/>
    <n v="491.72535921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7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1"/>
    <s v="E"/>
    <s v="(VH2)-HKHKG-(AX1)-MXLZC-(AX2)"/>
    <s v="50D15H"/>
    <n v="3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5.16"/>
    <n v="1063.9100000000001"/>
    <n v="1087.52"/>
    <n v="1076.81"/>
    <n v="0"/>
    <n v="0"/>
    <n v="725.16"/>
    <n v="1063.9100000000001"/>
    <n v="1087.52"/>
    <n v="1076.81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2"/>
    <s v="AX2"/>
    <m/>
    <m/>
    <s v="T"/>
    <s v="49D3H"/>
    <n v="1157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52.01802974999998"/>
    <n v="526.32454461999998"/>
    <n v="526.32454461999998"/>
    <n v="524.18782925999994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5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VH2)-HKHKG-(AX2)"/>
    <s v="36D15H"/>
    <n v="1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9.23"/>
    <n v="728.47"/>
    <n v="753.62"/>
    <n v="767.03"/>
    <n v="0"/>
    <n v="0"/>
    <n v="399.23"/>
    <n v="728.47"/>
    <n v="753.62"/>
    <n v="767.03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2"/>
    <s v="AX2"/>
    <m/>
    <m/>
    <s v="S"/>
    <s v="35D3H"/>
    <n v="821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VH3)-HKHKG-(AX2)"/>
    <s v="33D15H"/>
    <n v="2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5.03"/>
    <n v="722.23"/>
    <n v="747.71"/>
    <n v="757.34"/>
    <n v="0"/>
    <n v="0"/>
    <n v="395.03"/>
    <n v="722.23"/>
    <n v="747.71"/>
    <n v="757.34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3"/>
    <s v="AX2"/>
    <m/>
    <m/>
    <s v="S"/>
    <s v="32D4H"/>
    <n v="751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1"/>
    <s v="E"/>
    <s v="(VH3)-HKHKG-(AX1)-MXLZC-(AX2)"/>
    <s v="47D15H"/>
    <n v="3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0.96"/>
    <n v="1057.67"/>
    <n v="1081.6099999999999"/>
    <n v="1067.1199999999999"/>
    <n v="0"/>
    <n v="0"/>
    <n v="720.96"/>
    <n v="1057.67"/>
    <n v="1081.6099999999999"/>
    <n v="1067.1199999999999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3"/>
    <s v="AX2"/>
    <m/>
    <m/>
    <s v="T"/>
    <s v="46D4H"/>
    <n v="1087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52.01802974999998"/>
    <n v="526.32454461999998"/>
    <n v="526.32454461999998"/>
    <n v="524.18782925999994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4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TVH)-CNSHK-(AX2)"/>
    <s v="45D22H"/>
    <n v="2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8.18"/>
    <n v="845.93"/>
    <n v="870.17"/>
    <n v="888.99"/>
    <n v="0"/>
    <n v="0"/>
    <n v="478.18"/>
    <n v="845.93"/>
    <n v="870.17"/>
    <n v="888.99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TVH"/>
    <s v="AX2"/>
    <m/>
    <m/>
    <s v="S"/>
    <s v="44D10H"/>
    <n v="1020"/>
    <s v="2018-09-29"/>
    <s v="Historical averaged cost."/>
    <n v="56.470999999999997"/>
    <n v="81.516000000000005"/>
    <n v="81.335999999999999"/>
    <n v="90.506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12.97744994000001"/>
    <n v="319.11297961999998"/>
    <n v="319.11297961999998"/>
    <n v="353.05567237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3"/>
    <s v="E"/>
    <s v="(VH2)-HKHKG-(KME)-KRPUS-(AX3)"/>
    <s v="54D19H"/>
    <n v="3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1.89"/>
    <n v="999.45"/>
    <n v="1022.62"/>
    <n v="1054.58"/>
    <n v="0"/>
    <n v="0"/>
    <n v="591.89"/>
    <n v="999.45"/>
    <n v="1022.62"/>
    <n v="1054.58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2"/>
    <s v="AX3"/>
    <m/>
    <m/>
    <s v="T"/>
    <s v="53D7H"/>
    <n v="1257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03.28941374999999"/>
    <n v="444.22794291999998"/>
    <n v="444.22794291999998"/>
    <n v="491.72535921000002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6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VH2)-HKHKG-(KME)-KRPUS-(AX2)"/>
    <s v="50D15H"/>
    <n v="3"/>
    <s v="DR"/>
    <s v="D"/>
    <s v="Y"/>
    <s v="Y"/>
    <x v="36"/>
    <s v="HAIPHONG"/>
    <x v="24"/>
    <s v="HAIPH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3.95000000000005"/>
    <n v="978.37"/>
    <n v="1001.98"/>
    <n v="1043.22"/>
    <n v="0"/>
    <n v="0"/>
    <n v="573.95000000000005"/>
    <n v="978.37"/>
    <n v="1001.98"/>
    <n v="1043.22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VH2"/>
    <s v="AX2"/>
    <m/>
    <m/>
    <s v="T"/>
    <s v="49D3H"/>
    <n v="1157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0.81072074999997"/>
    <n v="440.78304961999999"/>
    <n v="440.78304961999999"/>
    <n v="490.59246390999999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550009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JT1)-KRPUS-(AX2)"/>
    <s v="51D22H"/>
    <n v="1"/>
    <s v="DR"/>
    <s v="D"/>
    <s v="Y"/>
    <s v="Y"/>
    <x v="8"/>
    <s v="HO CHI MINH"/>
    <x v="12"/>
    <s v="CAI MEP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3.53"/>
    <n v="699.77"/>
    <n v="705.24"/>
    <n v="688.61"/>
    <n v="0"/>
    <n v="0"/>
    <n v="483.53"/>
    <n v="699.77"/>
    <n v="705.24"/>
    <n v="688.61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JT1"/>
    <s v="AX2"/>
    <s v="F"/>
    <m/>
    <s v="S"/>
    <s v="50D4H"/>
    <n v="1040"/>
    <s v="2018-09-29"/>
    <s v="Historical averaged cost."/>
    <n v="37.5"/>
    <n v="55.5"/>
    <n v="55.5"/>
    <n v="60.5"/>
    <n v="0"/>
    <n v="0"/>
    <n v="29"/>
    <n v="58"/>
    <n v="58"/>
    <n v="72.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795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3"/>
    <s v="E"/>
    <s v="(JT3)-JPYOK-(AX3)"/>
    <s v="45D20H"/>
    <n v="1"/>
    <s v="DR"/>
    <s v="D"/>
    <s v="Y"/>
    <s v="Y"/>
    <x v="8"/>
    <s v="HO CHI MINH"/>
    <x v="25"/>
    <s v="HO CHI MINH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3.38"/>
    <n v="693.55"/>
    <n v="699.68"/>
    <n v="654.67999999999995"/>
    <n v="0"/>
    <n v="0"/>
    <n v="483.38"/>
    <n v="693.55"/>
    <n v="699.68"/>
    <n v="654.67999999999995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JT3"/>
    <s v="AX3"/>
    <m/>
    <m/>
    <s v="S"/>
    <s v="44D9H"/>
    <n v="1050"/>
    <s v="2018-09-29"/>
    <s v="Historical averaged cost."/>
    <n v="41"/>
    <n v="62"/>
    <n v="62"/>
    <n v="75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78.22610799"/>
    <n v="265.53991599"/>
    <n v="265.53991599"/>
    <n v="265.53991599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7950006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JS2)-HKHKG-(AX2)"/>
    <s v="51D6H"/>
    <n v="1"/>
    <s v="DR"/>
    <s v="D"/>
    <s v="Y"/>
    <s v="Y"/>
    <x v="8"/>
    <s v="HO CHI MINH"/>
    <x v="12"/>
    <s v="CAI MEP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1.82"/>
    <n v="697.03"/>
    <n v="702.62"/>
    <n v="720.97"/>
    <n v="0"/>
    <n v="0"/>
    <n v="471.82"/>
    <n v="697.03"/>
    <n v="702.62"/>
    <n v="720.97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JS2"/>
    <s v="AX2"/>
    <s v="F"/>
    <m/>
    <s v="S"/>
    <s v="49D12H"/>
    <n v="1100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795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JS2)-HKHKG-(AX2)-KRPUS-(AX2)"/>
    <s v="51D6H"/>
    <n v="3"/>
    <s v="DR"/>
    <s v="D"/>
    <s v="Y"/>
    <s v="Y"/>
    <x v="8"/>
    <s v="HO CHI MINH"/>
    <x v="12"/>
    <s v="CAI MEP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3.80999999999995"/>
    <n v="841.74"/>
    <n v="847.32"/>
    <n v="870.29"/>
    <n v="0"/>
    <n v="0"/>
    <n v="573.80999999999995"/>
    <n v="841.74"/>
    <n v="847.32"/>
    <n v="870.29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6.47"/>
    <n v="658.26"/>
    <n v="658.26"/>
    <n v="0"/>
    <n v="0"/>
    <n v="0"/>
    <m/>
    <m/>
    <m/>
    <m/>
    <m/>
    <m/>
    <m/>
    <m/>
    <m/>
    <m/>
    <m/>
    <m/>
    <s v="JS2"/>
    <s v="AX2"/>
    <s v="F"/>
    <m/>
    <s v="T"/>
    <s v="49D12H"/>
    <n v="1100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47.68135774999999"/>
    <n v="364.70254061999998"/>
    <n v="364.70254061999998"/>
    <n v="408.94982126000002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795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2"/>
    <x v="2"/>
    <x v="2"/>
    <x v="5"/>
    <x v="5"/>
    <x v="5"/>
    <x v="1"/>
    <x v="1"/>
    <x v="1"/>
    <m/>
    <m/>
    <m/>
    <m/>
    <m/>
    <m/>
  </r>
  <r>
    <s v="LW"/>
    <s v="LWE"/>
    <s v="LWT"/>
    <s v="LW"/>
    <s v="AX2"/>
    <s v="E"/>
    <s v="(AX2)"/>
    <s v="31D15H"/>
    <n v="1"/>
    <s v="DR"/>
    <s v="D"/>
    <s v="Y"/>
    <s v="Y"/>
    <x v="9"/>
    <s v="HONG K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68.93"/>
    <n v="503.22"/>
    <n v="497.56"/>
    <n v="559.08000000000004"/>
    <n v="0"/>
    <n v="0"/>
    <n v="268.93"/>
    <n v="503.22"/>
    <n v="497.56"/>
    <n v="559.08000000000004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650.46"/>
    <n v="923.55"/>
    <n v="923.55"/>
    <n v="0"/>
    <n v="0"/>
    <n v="0"/>
    <m/>
    <m/>
    <m/>
    <m/>
    <m/>
    <m/>
    <m/>
    <m/>
    <m/>
    <m/>
    <m/>
    <m/>
    <s v="AX2"/>
    <s v="AX2"/>
    <m/>
    <m/>
    <s v="S"/>
    <s v="30D3H"/>
    <n v="674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"/>
    <n v="66.56"/>
    <n v="63.04"/>
    <n v="103.3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6380014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2"/>
    <x v="2"/>
    <x v="2"/>
    <x v="6"/>
    <x v="6"/>
    <x v="6"/>
    <x v="0"/>
    <x v="0"/>
    <x v="0"/>
    <m/>
    <m/>
    <m/>
    <m/>
    <m/>
    <m/>
  </r>
  <r>
    <s v="LW"/>
    <s v="LWE"/>
    <s v="LWT"/>
    <s v="LW"/>
    <s v="AX2"/>
    <s v="E"/>
    <s v="(CSW)-KRPUS-(AX2)"/>
    <s v="31D15H"/>
    <n v="3"/>
    <s v="DR"/>
    <s v="D"/>
    <s v="Y"/>
    <s v="Y"/>
    <x v="9"/>
    <s v="HONG K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0.92"/>
    <n v="647.91999999999996"/>
    <n v="642.27"/>
    <n v="708.41"/>
    <n v="0"/>
    <n v="0"/>
    <n v="370.92"/>
    <n v="647.91999999999996"/>
    <n v="642.27"/>
    <n v="708.41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650.46"/>
    <n v="923.55"/>
    <n v="923.55"/>
    <n v="0"/>
    <n v="0"/>
    <n v="0"/>
    <m/>
    <m/>
    <m/>
    <m/>
    <m/>
    <m/>
    <m/>
    <m/>
    <m/>
    <m/>
    <m/>
    <m/>
    <s v="CSW"/>
    <s v="AX2"/>
    <m/>
    <m/>
    <s v="T"/>
    <s v="30D3H"/>
    <n v="689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4.8"/>
    <n v="66.56"/>
    <n v="63.04"/>
    <n v="103.3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6380015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2"/>
    <x v="2"/>
    <x v="2"/>
    <x v="6"/>
    <x v="6"/>
    <x v="6"/>
    <x v="0"/>
    <x v="0"/>
    <x v="0"/>
    <m/>
    <m/>
    <m/>
    <m/>
    <m/>
    <m/>
  </r>
  <r>
    <s v="LW"/>
    <s v="LWE"/>
    <s v="LWT"/>
    <s v="LW"/>
    <s v="AX2"/>
    <s v="E"/>
    <s v="(FE4)-KRPUS-(AX2)"/>
    <s v="50D6H"/>
    <n v="1"/>
    <s v="DR"/>
    <s v="D"/>
    <s v="Y"/>
    <s v="Y"/>
    <x v="10"/>
    <s v="HUANGP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3.1"/>
    <n v="660.94"/>
    <n v="800.95"/>
    <n v="1075.68"/>
    <n v="0"/>
    <n v="0"/>
    <n v="553.1"/>
    <n v="660.94"/>
    <n v="800.95"/>
    <n v="1075.68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48D12H"/>
    <n v="1087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4D6H"/>
    <n v="1"/>
    <s v="DR"/>
    <s v="D"/>
    <s v="Y"/>
    <s v="Y"/>
    <x v="10"/>
    <s v="HUANGP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6.04999999999995"/>
    <n v="651.37"/>
    <n v="792.04"/>
    <n v="1096.53"/>
    <n v="0"/>
    <n v="0"/>
    <n v="536.04999999999995"/>
    <n v="651.37"/>
    <n v="792.04"/>
    <n v="1096.53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2D13H"/>
    <n v="962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0D9H"/>
    <n v="1"/>
    <s v="DR"/>
    <s v="D"/>
    <s v="Y"/>
    <s v="Y"/>
    <x v="10"/>
    <s v="HUANGP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1.81"/>
    <n v="716.59"/>
    <n v="851.3"/>
    <n v="1031.19"/>
    <n v="0"/>
    <n v="0"/>
    <n v="681.81"/>
    <n v="716.59"/>
    <n v="851.3"/>
    <n v="1031.1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48D16H"/>
    <n v="1101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2D21H"/>
    <n v="3"/>
    <s v="DR"/>
    <s v="D"/>
    <s v="Y"/>
    <s v="Y"/>
    <x v="10"/>
    <s v="HUANGP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0.3"/>
    <n v="589.66"/>
    <n v="731.54"/>
    <n v="992.19"/>
    <n v="0"/>
    <n v="0"/>
    <n v="500.3"/>
    <n v="589.66"/>
    <n v="731.54"/>
    <n v="992.1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3H"/>
    <n v="689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6D9H"/>
    <n v="2"/>
    <s v="DR"/>
    <s v="D"/>
    <s v="Y"/>
    <s v="Y"/>
    <x v="10"/>
    <s v="HUANGP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3.5"/>
    <n v="631.82000000000005"/>
    <n v="773.37"/>
    <n v="1030.46"/>
    <n v="0"/>
    <n v="0"/>
    <n v="533.5"/>
    <n v="631.82000000000005"/>
    <n v="773.37"/>
    <n v="1030.46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4D16H"/>
    <n v="765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2D21H"/>
    <n v="1"/>
    <s v="DR"/>
    <s v="D"/>
    <s v="Y"/>
    <s v="Y"/>
    <x v="10"/>
    <s v="HUANGP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8.32"/>
    <n v="444.96"/>
    <n v="586.84"/>
    <n v="842.86"/>
    <n v="0"/>
    <n v="0"/>
    <n v="398.32"/>
    <n v="444.96"/>
    <n v="586.84"/>
    <n v="842.86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3H"/>
    <n v="674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6D9H"/>
    <n v="1"/>
    <s v="DR"/>
    <s v="D"/>
    <s v="Y"/>
    <s v="Y"/>
    <x v="10"/>
    <s v="HUANGPU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2.88"/>
    <n v="585.11"/>
    <n v="726.66"/>
    <n v="983.54"/>
    <n v="0"/>
    <n v="0"/>
    <n v="492.88"/>
    <n v="585.11"/>
    <n v="726.66"/>
    <n v="983.54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4D15H"/>
    <n v="780"/>
    <s v="2018-09-29"/>
    <s v="Historical averaged cost."/>
    <n v="96.056539999999998"/>
    <n v="143.83482000000001"/>
    <n v="143.83482000000001"/>
    <n v="143.83482000000001"/>
    <n v="0"/>
    <n v="0"/>
    <n v="26.755269999999999"/>
    <n v="52.23648"/>
    <n v="52.23648"/>
    <n v="62.683779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X1)-HKHKG-(AX2)"/>
    <s v="46D6H"/>
    <n v="1"/>
    <s v="DR"/>
    <s v="D"/>
    <s v="Y"/>
    <s v="Y"/>
    <x v="10"/>
    <s v="HUANGP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85"/>
    <n v="655.53"/>
    <n v="795.98"/>
    <n v="1102.99"/>
    <n v="0"/>
    <n v="0"/>
    <n v="538.85"/>
    <n v="655.53"/>
    <n v="795.98"/>
    <n v="1102.9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X1"/>
    <s v="AX2"/>
    <s v="F"/>
    <m/>
    <s v="S"/>
    <s v="44D12H"/>
    <n v="999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5D18H"/>
    <n v="1"/>
    <s v="DR"/>
    <s v="D"/>
    <s v="Y"/>
    <s v="Y"/>
    <x v="10"/>
    <s v="HUANGPU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1.55"/>
    <n v="396.33"/>
    <n v="537.88"/>
    <n v="776.95"/>
    <n v="0"/>
    <n v="0"/>
    <n v="371.55"/>
    <n v="396.33"/>
    <n v="537.88"/>
    <n v="776.95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4D1H"/>
    <n v="706"/>
    <s v="2018-09-29"/>
    <s v="Historical averaged cost."/>
    <n v="110.87472"/>
    <n v="166.13449"/>
    <n v="166.13449"/>
    <n v="183.10584"/>
    <n v="0"/>
    <n v="0"/>
    <n v="36.31073"/>
    <n v="61.154910000000001"/>
    <n v="61.154910000000001"/>
    <n v="76.4436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HKHKG-(AX2)"/>
    <s v="48D6H"/>
    <n v="1"/>
    <s v="DR"/>
    <s v="D"/>
    <s v="Y"/>
    <s v="Y"/>
    <x v="10"/>
    <s v="HUANGP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1.65"/>
    <n v="659.69"/>
    <n v="799.92"/>
    <n v="1109.45"/>
    <n v="0"/>
    <n v="0"/>
    <n v="541.65"/>
    <n v="659.69"/>
    <n v="799.92"/>
    <n v="1109.45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S"/>
    <s v="46D12H"/>
    <n v="1031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4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IPS)-KRPUS-(AX2)"/>
    <s v="47D16H"/>
    <n v="1"/>
    <s v="DR"/>
    <s v="D"/>
    <s v="Y"/>
    <s v="Y"/>
    <x v="11"/>
    <s v="JAKARTA"/>
    <x v="13"/>
    <s v="JAKARTA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7.05"/>
    <n v="860.45"/>
    <n v="806.84"/>
    <n v="800.01"/>
    <n v="0"/>
    <n v="0"/>
    <n v="437.05"/>
    <n v="860.45"/>
    <n v="806.84"/>
    <n v="800.01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IPS"/>
    <s v="AX2"/>
    <m/>
    <m/>
    <s v="S"/>
    <s v="46D4H"/>
    <n v="1074"/>
    <s v="2018-09-29"/>
    <s v="Historical averaged cost."/>
    <n v="83"/>
    <n v="124.5"/>
    <n v="124.5"/>
    <n v="155.62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89.35736"/>
    <n v="255.02028195"/>
    <n v="255.02028195"/>
    <n v="263.09893649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350001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3"/>
    <s v="E"/>
    <s v="(IPS)-KRPUS-(AX3)"/>
    <s v="44D20H"/>
    <n v="2"/>
    <s v="DR"/>
    <s v="D"/>
    <s v="Y"/>
    <s v="Y"/>
    <x v="11"/>
    <s v="JAKARTA"/>
    <x v="13"/>
    <s v="JAKARTA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5.2"/>
    <n v="866.96"/>
    <n v="813.69"/>
    <n v="788.76"/>
    <n v="0"/>
    <n v="0"/>
    <n v="445.2"/>
    <n v="866.96"/>
    <n v="813.69"/>
    <n v="788.76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IPS"/>
    <s v="AX3"/>
    <m/>
    <m/>
    <s v="S"/>
    <s v="43D8H"/>
    <n v="1006"/>
    <s v="2018-09-29"/>
    <s v="Historical averaged cost."/>
    <n v="83"/>
    <n v="124.5"/>
    <n v="124.5"/>
    <n v="155.62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350002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TI1)-SGSIN-(NX2)-KRPUS-(AX2)"/>
    <s v="49D0H"/>
    <n v="2"/>
    <s v="DR"/>
    <s v="D"/>
    <s v="Y"/>
    <s v="Y"/>
    <x v="11"/>
    <s v="JAKARTA"/>
    <x v="13"/>
    <s v="JAKARTA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3.37"/>
    <n v="960.38"/>
    <n v="906.66"/>
    <n v="891.76"/>
    <n v="0"/>
    <n v="0"/>
    <n v="543.37"/>
    <n v="960.38"/>
    <n v="906.66"/>
    <n v="891.76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TI1"/>
    <s v="AX2"/>
    <m/>
    <m/>
    <s v="S"/>
    <s v="47D13H"/>
    <n v="1112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350003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JID)-SGSIN-(MD2)-KRPUS-(AX2)"/>
    <s v="47D14H"/>
    <n v="2"/>
    <s v="DR"/>
    <s v="D"/>
    <s v="Y"/>
    <s v="Y"/>
    <x v="11"/>
    <s v="JAKARTA"/>
    <x v="13"/>
    <s v="JAKARTA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1.66999999999996"/>
    <n v="972.84"/>
    <n v="919.24"/>
    <n v="906.63"/>
    <n v="0"/>
    <n v="0"/>
    <n v="551.66999999999996"/>
    <n v="972.84"/>
    <n v="919.24"/>
    <n v="906.63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JID"/>
    <s v="AX2"/>
    <m/>
    <m/>
    <s v="S"/>
    <s v="46D2H"/>
    <n v="1053"/>
    <s v="2018-09-29"/>
    <s v="Historical averaged cost."/>
    <n v="84.396000000000001"/>
    <n v="126.595"/>
    <n v="126.595"/>
    <n v="157.715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350004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TI1)-SGSIN-(MD3)-KRPUS-(AX2)"/>
    <s v="49D0H"/>
    <n v="3"/>
    <s v="DR"/>
    <s v="D"/>
    <s v="Y"/>
    <s v="Y"/>
    <x v="11"/>
    <s v="JAKARTA"/>
    <x v="13"/>
    <s v="JAKARTA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3.37"/>
    <n v="960.38"/>
    <n v="906.66"/>
    <n v="891.76"/>
    <n v="0"/>
    <n v="0"/>
    <n v="543.37"/>
    <n v="960.38"/>
    <n v="906.66"/>
    <n v="891.76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TI1"/>
    <s v="AX2"/>
    <m/>
    <m/>
    <s v="T"/>
    <s v="47D13H"/>
    <n v="1112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350005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AX2)"/>
    <s v="34D16H"/>
    <n v="1"/>
    <s v="DR"/>
    <s v="D"/>
    <s v="Y"/>
    <s v="Y"/>
    <x v="37"/>
    <s v="JIANGMEN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3.75"/>
    <n v="697.17"/>
    <n v="671.83"/>
    <n v="644.45000000000005"/>
    <n v="0"/>
    <n v="0"/>
    <n v="473.75"/>
    <n v="697.17"/>
    <n v="671.83"/>
    <n v="644.45000000000005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2D23H"/>
    <n v="706"/>
    <s v="2018-09-29"/>
    <s v="Historical averaged cost."/>
    <n v="110.87472"/>
    <n v="166.13449"/>
    <n v="166.13449"/>
    <n v="183.10584"/>
    <n v="0"/>
    <n v="0"/>
    <n v="45.86618"/>
    <n v="76.443640000000002"/>
    <n v="76.443640000000002"/>
    <n v="82.8139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21H"/>
    <n v="1"/>
    <s v="DR"/>
    <s v="D"/>
    <s v="Y"/>
    <s v="Y"/>
    <x v="37"/>
    <s v="JIANGME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1.6"/>
    <n v="757.6"/>
    <n v="732.37"/>
    <n v="728.3"/>
    <n v="0"/>
    <n v="0"/>
    <n v="511.6"/>
    <n v="757.6"/>
    <n v="732.37"/>
    <n v="728.3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2D3H"/>
    <n v="674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7D5H"/>
    <n v="2"/>
    <s v="DR"/>
    <s v="D"/>
    <s v="Y"/>
    <s v="Y"/>
    <x v="37"/>
    <s v="JIANGME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1.87"/>
    <n v="961.03"/>
    <n v="935.47"/>
    <n v="942.65"/>
    <n v="0"/>
    <n v="0"/>
    <n v="651.87"/>
    <n v="961.03"/>
    <n v="935.47"/>
    <n v="942.65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5D12H"/>
    <n v="765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5D2H"/>
    <n v="1"/>
    <s v="DR"/>
    <s v="D"/>
    <s v="Y"/>
    <s v="Y"/>
    <x v="37"/>
    <s v="JIANGME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4.41999999999996"/>
    <n v="980.58"/>
    <n v="954.14"/>
    <n v="1008.72"/>
    <n v="0"/>
    <n v="0"/>
    <n v="654.41999999999996"/>
    <n v="980.58"/>
    <n v="954.14"/>
    <n v="1008.72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3D9H"/>
    <n v="962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1D5H"/>
    <n v="1"/>
    <s v="DR"/>
    <s v="D"/>
    <s v="Y"/>
    <s v="Y"/>
    <x v="37"/>
    <s v="JIANGME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0.19"/>
    <n v="1045.8"/>
    <n v="1013.4"/>
    <n v="943.38"/>
    <n v="0"/>
    <n v="0"/>
    <n v="800.19"/>
    <n v="1045.8"/>
    <n v="1013.4"/>
    <n v="943.38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49D12H"/>
    <n v="1101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21H"/>
    <n v="3"/>
    <s v="DR"/>
    <s v="D"/>
    <s v="Y"/>
    <s v="Y"/>
    <x v="37"/>
    <s v="JIANGME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59"/>
    <n v="902.3"/>
    <n v="877.08"/>
    <n v="877.62"/>
    <n v="0"/>
    <n v="0"/>
    <n v="613.59"/>
    <n v="902.3"/>
    <n v="877.08"/>
    <n v="877.62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2D3H"/>
    <n v="689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7D8H"/>
    <n v="1"/>
    <s v="DR"/>
    <s v="D"/>
    <s v="Y"/>
    <s v="Y"/>
    <x v="37"/>
    <s v="JIANGMEN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7.42999999999995"/>
    <n v="899.03"/>
    <n v="873.47"/>
    <n v="871.27"/>
    <n v="0"/>
    <n v="0"/>
    <n v="607.42999999999995"/>
    <n v="899.03"/>
    <n v="873.47"/>
    <n v="871.27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5D14H"/>
    <n v="780"/>
    <s v="2018-09-29"/>
    <s v="Historical averaged cost."/>
    <n v="96.056539999999998"/>
    <n v="143.83482000000001"/>
    <n v="143.83482000000001"/>
    <n v="143.83482000000001"/>
    <n v="0"/>
    <n v="0"/>
    <n v="45.86618"/>
    <n v="76.443640000000002"/>
    <n v="76.443640000000002"/>
    <n v="82.81394000000000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1D2H"/>
    <n v="1"/>
    <s v="DR"/>
    <s v="D"/>
    <s v="Y"/>
    <s v="Y"/>
    <x v="37"/>
    <s v="JIANGME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1.47"/>
    <n v="990.15"/>
    <n v="963.05"/>
    <n v="987.87"/>
    <n v="0"/>
    <n v="0"/>
    <n v="671.47"/>
    <n v="990.15"/>
    <n v="963.05"/>
    <n v="987.87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49D8H"/>
    <n v="1087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972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43D21H"/>
    <n v="1"/>
    <s v="DR"/>
    <s v="D"/>
    <s v="Y"/>
    <s v="Y"/>
    <x v="38"/>
    <s v="JIANGYIN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5.49"/>
    <n v="867.33"/>
    <n v="647.91"/>
    <n v="4674.17"/>
    <n v="0"/>
    <n v="0"/>
    <n v="565.49"/>
    <n v="867.33"/>
    <n v="647.91"/>
    <n v="4674.17"/>
    <n v="0"/>
    <n v="0"/>
    <s v="CNJIA"/>
    <n v="164.413801804"/>
    <n v="268.76370850199999"/>
    <n v="26.433908421000002"/>
    <n v="4019.8420618730001"/>
    <n v="0"/>
    <n v="0"/>
    <n v="164.413801804"/>
    <n v="268.76370850199999"/>
    <n v="26.433908421000002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8189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3D21H"/>
    <n v="3"/>
    <s v="DR"/>
    <s v="D"/>
    <s v="Y"/>
    <s v="Y"/>
    <x v="38"/>
    <s v="JIANGYIN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48"/>
    <n v="1012.03"/>
    <n v="792.61"/>
    <n v="4823.49"/>
    <n v="0"/>
    <n v="0"/>
    <n v="667.48"/>
    <n v="1012.03"/>
    <n v="792.61"/>
    <n v="4823.49"/>
    <n v="0"/>
    <n v="0"/>
    <s v="CNJIA"/>
    <n v="164.413801804"/>
    <n v="268.76370850199999"/>
    <n v="26.433908421000002"/>
    <n v="4019.8420618730001"/>
    <n v="0"/>
    <n v="0"/>
    <n v="164.413801804"/>
    <n v="268.76370850199999"/>
    <n v="26.433908421000002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8189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38"/>
    <s v="JIANGYIN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3.96"/>
    <n v="874.56"/>
    <n v="655.25"/>
    <n v="4668.25"/>
    <n v="0"/>
    <n v="0"/>
    <n v="573.96"/>
    <n v="874.56"/>
    <n v="655.25"/>
    <n v="4668.25"/>
    <n v="0"/>
    <n v="0"/>
    <s v="CNJIA"/>
    <n v="164.413801804"/>
    <n v="268.76370850199999"/>
    <n v="26.433908421000002"/>
    <n v="4019.8420618730001"/>
    <n v="0"/>
    <n v="0"/>
    <n v="164.413801804"/>
    <n v="268.76370850199999"/>
    <n v="26.433908421000002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1D8H"/>
    <n v="820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8189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MD3)-KRPUS-(AX2)"/>
    <s v="49D15H"/>
    <n v="1"/>
    <s v="DR"/>
    <s v="D"/>
    <s v="Y"/>
    <s v="Y"/>
    <x v="12"/>
    <s v="KAOHSIUNG CITY"/>
    <x v="26"/>
    <s v="KAOHSIUNG CITY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6.98"/>
    <n v="497.58"/>
    <n v="472.2"/>
    <n v="415.67"/>
    <n v="0"/>
    <n v="0"/>
    <n v="366.98"/>
    <n v="497.58"/>
    <n v="472.2"/>
    <n v="415.67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MD3"/>
    <s v="AX2"/>
    <m/>
    <m/>
    <s v="S"/>
    <s v="48D3H"/>
    <n v="885"/>
    <s v="2018-09-29"/>
    <s v="Historical averaged cost."/>
    <n v="68.800370000000001"/>
    <n v="77.259739999999994"/>
    <n v="77.259739999999994"/>
    <n v="77.25973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85.080806999999993"/>
    <n v="119.15799130000001"/>
    <n v="119.15799130000001"/>
    <n v="119.15799130000001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436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AX1)-KRPUS-(AX2)"/>
    <s v="52D11H"/>
    <n v="1"/>
    <s v="DR"/>
    <s v="D"/>
    <s v="Y"/>
    <s v="Y"/>
    <x v="12"/>
    <s v="KAOHSIUNG CITY"/>
    <x v="14"/>
    <s v="KEELU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2.38"/>
    <n v="948.83"/>
    <n v="923.24"/>
    <n v="871.54"/>
    <n v="0"/>
    <n v="0"/>
    <n v="762.38"/>
    <n v="948.83"/>
    <n v="923.24"/>
    <n v="871.54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AX1"/>
    <s v="AX2"/>
    <s v="T"/>
    <m/>
    <s v="S"/>
    <s v="50D17H"/>
    <n v="1030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436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AX1)-KRPUS-(AX2)"/>
    <s v="50D15H"/>
    <n v="1"/>
    <s v="DR"/>
    <s v="D"/>
    <s v="Y"/>
    <s v="Y"/>
    <x v="14"/>
    <s v="KEELUNG"/>
    <x v="14"/>
    <s v="KEELU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4.97"/>
    <n v="535.73"/>
    <n v="685.19"/>
    <n v="491.14"/>
    <n v="0"/>
    <n v="0"/>
    <n v="494.97"/>
    <n v="535.73"/>
    <n v="685.19"/>
    <n v="491.14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AX1"/>
    <s v="AX2"/>
    <m/>
    <m/>
    <s v="S"/>
    <s v="49D3H"/>
    <n v="1030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16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MD3)-KRPUS-(AX2)"/>
    <s v="50D7H"/>
    <n v="1"/>
    <s v="DR"/>
    <s v="D"/>
    <s v="Y"/>
    <s v="Y"/>
    <x v="14"/>
    <s v="KEELUNG"/>
    <x v="26"/>
    <s v="KAOHSIUNG CITY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69"/>
    <n v="727.79"/>
    <n v="877.36"/>
    <n v="682.05"/>
    <n v="0"/>
    <n v="0"/>
    <n v="707.69"/>
    <n v="727.79"/>
    <n v="877.36"/>
    <n v="682.05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MD3"/>
    <s v="AX2"/>
    <s v="T"/>
    <m/>
    <s v="S"/>
    <s v="48D13H"/>
    <n v="885"/>
    <s v="2018-09-29"/>
    <s v="Historical averaged cost."/>
    <n v="81.980369999999994"/>
    <n v="95.711740000000006"/>
    <n v="95.711740000000006"/>
    <n v="95.711740000000006"/>
    <n v="0"/>
    <n v="0"/>
    <n v="216.82631000000001"/>
    <n v="216.82631000000001"/>
    <n v="216.82631000000001"/>
    <n v="216.82631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16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JT4)-HKHKG-(AX2)"/>
    <s v="46D13H"/>
    <n v="2"/>
    <s v="DR"/>
    <s v="D"/>
    <s v="Y"/>
    <s v="Y"/>
    <x v="39"/>
    <s v="LAEM CH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9.66"/>
    <n v="688.94"/>
    <n v="683.2"/>
    <n v="632.64"/>
    <n v="0"/>
    <n v="0"/>
    <n v="469.66"/>
    <n v="688.94"/>
    <n v="683.2"/>
    <n v="632.64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4"/>
    <s v="AX2"/>
    <m/>
    <m/>
    <s v="S"/>
    <s v="45D1H"/>
    <n v="1057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510003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1"/>
    <s v="E"/>
    <s v="(JT3)-HKHKG-(AX1)-MXLZC-(AX2)"/>
    <s v="54D19H"/>
    <n v="3"/>
    <s v="DR"/>
    <s v="D"/>
    <s v="Y"/>
    <s v="Y"/>
    <x v="39"/>
    <s v="LAEM CH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1.8"/>
    <n v="1007.13"/>
    <n v="1000.52"/>
    <n v="917.2"/>
    <n v="0"/>
    <n v="0"/>
    <n v="781.8"/>
    <n v="1007.13"/>
    <n v="1000.52"/>
    <n v="917.2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3"/>
    <s v="AX2"/>
    <m/>
    <m/>
    <s v="T"/>
    <s v="53D7H"/>
    <n v="1219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52.01802974999998"/>
    <n v="526.32454461999998"/>
    <n v="526.32454461999998"/>
    <n v="524.18782925999994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51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JT3)-HKHKG-(AX2)"/>
    <s v="47D19H"/>
    <n v="1"/>
    <s v="DR"/>
    <s v="D"/>
    <s v="Y"/>
    <s v="Y"/>
    <x v="39"/>
    <s v="LAEM CH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5.68"/>
    <n v="686.25"/>
    <n v="680.4"/>
    <n v="630.02"/>
    <n v="0"/>
    <n v="0"/>
    <n v="465.68"/>
    <n v="686.25"/>
    <n v="680.4"/>
    <n v="630.02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3"/>
    <s v="AX2"/>
    <m/>
    <m/>
    <s v="S"/>
    <s v="46D7H"/>
    <n v="1051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51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JT3)-HKHKG-(AX2)-MXZLO-(AX3)"/>
    <s v="51D23H"/>
    <n v="3"/>
    <s v="DR"/>
    <s v="D"/>
    <s v="Y"/>
    <s v="Y"/>
    <x v="39"/>
    <s v="LAEM CH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1.84"/>
    <n v="904.57"/>
    <n v="898.29"/>
    <n v="840.95"/>
    <n v="0"/>
    <n v="0"/>
    <n v="681.84"/>
    <n v="904.57"/>
    <n v="898.29"/>
    <n v="840.95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3"/>
    <s v="AX3"/>
    <m/>
    <m/>
    <s v="T"/>
    <s v="50D11H"/>
    <n v="1151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6.39202975000001"/>
    <n v="420.69854462000001"/>
    <n v="420.69854462000001"/>
    <n v="460.32182926000002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510006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JT1)-KRPUS-(AX2)"/>
    <s v="53D7H"/>
    <n v="1"/>
    <s v="DR"/>
    <s v="D"/>
    <s v="Y"/>
    <s v="Y"/>
    <x v="39"/>
    <s v="LAEM CH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6.72"/>
    <n v="698.5"/>
    <n v="692.11"/>
    <n v="611.79"/>
    <n v="0"/>
    <n v="0"/>
    <n v="486.72"/>
    <n v="698.5"/>
    <n v="692.11"/>
    <n v="611.79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1"/>
    <s v="AX2"/>
    <m/>
    <m/>
    <s v="S"/>
    <s v="51D20H"/>
    <n v="1103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51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KVT)-KRPUS-(AX2)"/>
    <s v="30D13H"/>
    <n v="2"/>
    <s v="DR"/>
    <s v="D"/>
    <s v="Y"/>
    <s v="Y"/>
    <x v="39"/>
    <s v="LAEM CH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5.54"/>
    <n v="685.91"/>
    <n v="681.93"/>
    <n v="578.59"/>
    <n v="0"/>
    <n v="0"/>
    <n v="485.54"/>
    <n v="685.91"/>
    <n v="681.93"/>
    <n v="578.59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KVT"/>
    <s v="AX2"/>
    <m/>
    <m/>
    <s v="S"/>
    <s v="29D1H"/>
    <n v="685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89.35736"/>
    <n v="255.02028195"/>
    <n v="255.02028195"/>
    <n v="263.09893649999998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51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1"/>
    <s v="E"/>
    <s v="(JT3)-HKHKG-(AX1)-MXLZC-(AX2)"/>
    <s v="55D2H"/>
    <n v="3"/>
    <s v="DR"/>
    <s v="D"/>
    <s v="Y"/>
    <s v="Y"/>
    <x v="40"/>
    <s v="LAT KR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2.48"/>
    <n v="1146.5999999999999"/>
    <n v="1154.58"/>
    <n v="1055.43"/>
    <n v="0"/>
    <n v="0"/>
    <n v="882.48"/>
    <n v="1146.5999999999999"/>
    <n v="1154.58"/>
    <n v="1055.43"/>
    <n v="0"/>
    <n v="0"/>
    <s v="THLKR"/>
    <n v="170.52266768000001"/>
    <n v="266.80109989900001"/>
    <n v="251.29317488199999"/>
    <n v="213.95563125800001"/>
    <n v="0"/>
    <n v="0"/>
    <n v="170.52266768000001"/>
    <n v="266.80109989900001"/>
    <n v="251.29317488199999"/>
    <n v="213.95563125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3"/>
    <s v="AX2"/>
    <s v="R"/>
    <m/>
    <s v="T"/>
    <s v="53D8H"/>
    <n v="1219"/>
    <s v="2018-09-29"/>
    <s v="Historical averaged cost."/>
    <n v="59.774239999999999"/>
    <n v="98.768919999999994"/>
    <n v="98.768919999999994"/>
    <n v="104.89874"/>
    <n v="0"/>
    <n v="0"/>
    <n v="47.83"/>
    <n v="66.97"/>
    <n v="68.760000000000005"/>
    <n v="66.9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52.01802974999998"/>
    <n v="526.32454461999998"/>
    <n v="526.32454461999998"/>
    <n v="524.18782925999994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s v="Y"/>
    <s v="Y"/>
    <s v="Y"/>
    <s v="Y"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32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JT1)-KRPUS-(AX2)"/>
    <s v="53D19H"/>
    <n v="1"/>
    <s v="DR"/>
    <s v="D"/>
    <s v="Y"/>
    <s v="Y"/>
    <x v="40"/>
    <s v="LAT KR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6.34"/>
    <n v="836.64"/>
    <n v="842.94"/>
    <n v="749.87"/>
    <n v="0"/>
    <n v="0"/>
    <n v="586.34"/>
    <n v="836.64"/>
    <n v="842.94"/>
    <n v="749.87"/>
    <n v="0"/>
    <n v="0"/>
    <s v="THLKR"/>
    <n v="170.52266768000001"/>
    <n v="266.80109989900001"/>
    <n v="251.29317488199999"/>
    <n v="213.95563125800001"/>
    <n v="0"/>
    <n v="0"/>
    <n v="170.52266768000001"/>
    <n v="266.80109989900001"/>
    <n v="251.29317488199999"/>
    <n v="213.95563125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1"/>
    <s v="AX2"/>
    <s v="R"/>
    <m/>
    <s v="S"/>
    <s v="52D2H"/>
    <n v="1103"/>
    <s v="2018-09-29"/>
    <s v="Historical averaged cost."/>
    <n v="65.461460000000002"/>
    <n v="103.99159"/>
    <n v="103.99159"/>
    <n v="111.22418999999999"/>
    <n v="0"/>
    <n v="0"/>
    <n v="45.07226"/>
    <n v="63.10116"/>
    <n v="63.10116"/>
    <n v="63.10116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32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JT4)-HKHKG-(AX2)"/>
    <s v="47D1H"/>
    <n v="2"/>
    <s v="DR"/>
    <s v="D"/>
    <s v="Y"/>
    <s v="Y"/>
    <x v="40"/>
    <s v="LAT KR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7.89"/>
    <n v="824.99"/>
    <n v="832.06"/>
    <n v="767.48"/>
    <n v="0"/>
    <n v="0"/>
    <n v="567.89"/>
    <n v="824.99"/>
    <n v="832.06"/>
    <n v="767.48"/>
    <n v="0"/>
    <n v="0"/>
    <s v="THLKR"/>
    <n v="170.52266768000001"/>
    <n v="266.80109989900001"/>
    <n v="251.29317488199999"/>
    <n v="213.95563125800001"/>
    <n v="0"/>
    <n v="0"/>
    <n v="170.52266768000001"/>
    <n v="266.80109989900001"/>
    <n v="251.29317488199999"/>
    <n v="213.95563125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4"/>
    <s v="AX2"/>
    <s v="R"/>
    <m/>
    <s v="S"/>
    <s v="45D7H"/>
    <n v="1057"/>
    <s v="2018-09-29"/>
    <s v="Historical averaged cost."/>
    <n v="65.461460000000002"/>
    <n v="103.99159"/>
    <n v="103.99159"/>
    <n v="111.22418999999999"/>
    <n v="0"/>
    <n v="0"/>
    <n v="45.07226"/>
    <n v="63.10116"/>
    <n v="63.10116"/>
    <n v="63.10116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320003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JT3)-HKHKG-(AX2)-MXZLO-(AX3)"/>
    <s v="52D6H"/>
    <n v="3"/>
    <s v="DR"/>
    <s v="D"/>
    <s v="Y"/>
    <s v="Y"/>
    <x v="40"/>
    <s v="LAT KR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2.52"/>
    <n v="1044.05"/>
    <n v="1052.3499999999999"/>
    <n v="979.19"/>
    <n v="0"/>
    <n v="0"/>
    <n v="782.52"/>
    <n v="1044.05"/>
    <n v="1052.3499999999999"/>
    <n v="979.19"/>
    <n v="0"/>
    <n v="0"/>
    <s v="THLKR"/>
    <n v="170.52266768000001"/>
    <n v="266.80109989900001"/>
    <n v="251.29317488199999"/>
    <n v="213.95563125800001"/>
    <n v="0"/>
    <n v="0"/>
    <n v="170.52266768000001"/>
    <n v="266.80109989900001"/>
    <n v="251.29317488199999"/>
    <n v="213.95563125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3"/>
    <s v="AX3"/>
    <s v="R"/>
    <m/>
    <s v="T"/>
    <s v="50D12H"/>
    <n v="1151"/>
    <s v="2018-09-29"/>
    <s v="Historical averaged cost."/>
    <n v="59.774239999999999"/>
    <n v="98.768919999999994"/>
    <n v="98.768919999999994"/>
    <n v="104.89874"/>
    <n v="0"/>
    <n v="0"/>
    <n v="47.83"/>
    <n v="66.97"/>
    <n v="68.760000000000005"/>
    <n v="66.97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6.39202975000001"/>
    <n v="420.69854462000001"/>
    <n v="420.69854462000001"/>
    <n v="460.32182926000002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320006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JT3)-HKHKG-(AX2)"/>
    <s v="48D2H"/>
    <n v="1"/>
    <s v="DR"/>
    <s v="D"/>
    <s v="Y"/>
    <s v="Y"/>
    <x v="40"/>
    <s v="LAT KR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6.36"/>
    <n v="825.72"/>
    <n v="834.47"/>
    <n v="768.26"/>
    <n v="0"/>
    <n v="0"/>
    <n v="566.36"/>
    <n v="825.72"/>
    <n v="834.47"/>
    <n v="768.26"/>
    <n v="0"/>
    <n v="0"/>
    <s v="THLKR"/>
    <n v="170.52266768000001"/>
    <n v="266.80109989900001"/>
    <n v="251.29317488199999"/>
    <n v="213.95563125800001"/>
    <n v="0"/>
    <n v="0"/>
    <n v="170.52266768000001"/>
    <n v="266.80109989900001"/>
    <n v="251.29317488199999"/>
    <n v="213.95563125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JT3"/>
    <s v="AX2"/>
    <s v="R"/>
    <m/>
    <s v="S"/>
    <s v="46D8H"/>
    <n v="1051"/>
    <s v="2018-09-29"/>
    <s v="Historical averaged cost."/>
    <n v="59.774239999999999"/>
    <n v="98.768919999999994"/>
    <n v="98.768919999999994"/>
    <n v="104.89874"/>
    <n v="0"/>
    <n v="0"/>
    <n v="47.83"/>
    <n v="66.97"/>
    <n v="68.760000000000005"/>
    <n v="66.9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32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2"/>
    <s v="E"/>
    <s v="(KVT)-KRPUS-(AX2)"/>
    <s v="30D20H"/>
    <n v="2"/>
    <s v="DR"/>
    <s v="D"/>
    <s v="Y"/>
    <s v="Y"/>
    <x v="40"/>
    <s v="LAT KRABANG"/>
    <x v="27"/>
    <s v="LAEM CHAB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6.22"/>
    <n v="825.38"/>
    <n v="836"/>
    <n v="716.82"/>
    <n v="0"/>
    <n v="0"/>
    <n v="586.22"/>
    <n v="825.38"/>
    <n v="836"/>
    <n v="716.82"/>
    <n v="0"/>
    <n v="0"/>
    <s v="THLKR"/>
    <n v="170.52266768000001"/>
    <n v="266.80109989900001"/>
    <n v="251.29317488199999"/>
    <n v="213.95563125800001"/>
    <n v="0"/>
    <n v="0"/>
    <n v="170.52266768000001"/>
    <n v="266.80109989900001"/>
    <n v="251.29317488199999"/>
    <n v="213.95563125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28.2"/>
    <n v="655.27"/>
    <n v="655.27"/>
    <n v="0"/>
    <n v="0"/>
    <n v="0"/>
    <m/>
    <m/>
    <m/>
    <m/>
    <m/>
    <m/>
    <m/>
    <m/>
    <m/>
    <m/>
    <m/>
    <m/>
    <s v="KVT"/>
    <s v="AX2"/>
    <s v="R"/>
    <m/>
    <s v="S"/>
    <s v="29D2H"/>
    <n v="685"/>
    <s v="2018-09-29"/>
    <s v="Historical averaged cost."/>
    <n v="59.774239999999999"/>
    <n v="98.768919999999994"/>
    <n v="98.768919999999994"/>
    <n v="104.89874"/>
    <n v="0"/>
    <n v="0"/>
    <n v="47.83"/>
    <n v="66.97"/>
    <n v="68.760000000000005"/>
    <n v="66.9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89.35736"/>
    <n v="255.02028195"/>
    <n v="255.02028195"/>
    <n v="263.09893649999998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0"/>
    <n v="0"/>
    <n v="0"/>
    <n v="0"/>
    <n v="0"/>
    <n v="0"/>
    <m/>
    <m/>
    <m/>
    <m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732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2"/>
    <x v="2"/>
    <x v="2"/>
    <x v="18"/>
    <x v="20"/>
    <x v="20"/>
    <x v="0"/>
    <x v="0"/>
    <x v="0"/>
    <m/>
    <m/>
    <m/>
    <m/>
    <m/>
    <m/>
  </r>
  <r>
    <s v="LW"/>
    <s v="LWE"/>
    <s v="LWT"/>
    <s v="LW"/>
    <s v="AX1"/>
    <s v="E"/>
    <s v="(AX1)-MXZLO-(AX2)"/>
    <s v="52D5H"/>
    <n v="1"/>
    <s v="DR"/>
    <s v="D"/>
    <s v="Y"/>
    <s v="Y"/>
    <x v="41"/>
    <s v="LELI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6.47"/>
    <n v="930.27"/>
    <n v="776.36"/>
    <n v="1073.31"/>
    <n v="0"/>
    <n v="0"/>
    <n v="796.47"/>
    <n v="930.27"/>
    <n v="776.36"/>
    <n v="1073.31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50D12H"/>
    <n v="1101"/>
    <s v="2018-09-29"/>
    <s v="Historical averaged cost."/>
    <n v="89.532589999999999"/>
    <n v="133.29938999999999"/>
    <n v="133.29938999999999"/>
    <n v="163.43816000000001"/>
    <n v="0"/>
    <n v="0"/>
    <n v="93.006420000000006"/>
    <n v="150.33914999999999"/>
    <n v="150.33914999999999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8D5H"/>
    <n v="2"/>
    <s v="DR"/>
    <s v="D"/>
    <s v="Y"/>
    <s v="Y"/>
    <x v="41"/>
    <s v="LELI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8.16"/>
    <n v="845.5"/>
    <n v="698.43"/>
    <n v="1072.58"/>
    <n v="0"/>
    <n v="0"/>
    <n v="648.16"/>
    <n v="845.5"/>
    <n v="698.43"/>
    <n v="1072.58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6D12H"/>
    <n v="765"/>
    <s v="2018-09-29"/>
    <s v="Historical averaged cost."/>
    <n v="89.532589999999999"/>
    <n v="133.29938999999999"/>
    <n v="133.29938999999999"/>
    <n v="163.43816000000001"/>
    <n v="0"/>
    <n v="0"/>
    <n v="93.006420000000006"/>
    <n v="150.33914999999999"/>
    <n v="150.33914999999999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6D2H"/>
    <n v="1"/>
    <s v="DR"/>
    <s v="D"/>
    <s v="Y"/>
    <s v="Y"/>
    <x v="41"/>
    <s v="LELI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0.71"/>
    <n v="865.05"/>
    <n v="717.11"/>
    <n v="1138.6500000000001"/>
    <n v="0"/>
    <n v="0"/>
    <n v="650.71"/>
    <n v="865.05"/>
    <n v="717.11"/>
    <n v="1138.6500000000001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4D9H"/>
    <n v="962"/>
    <s v="2018-09-29"/>
    <s v="Historical averaged cost."/>
    <n v="89.532589999999999"/>
    <n v="133.29938999999999"/>
    <n v="133.29938999999999"/>
    <n v="163.43816000000001"/>
    <n v="0"/>
    <n v="0"/>
    <n v="93.006420000000006"/>
    <n v="150.33914999999999"/>
    <n v="150.33914999999999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14H"/>
    <n v="3"/>
    <s v="DR"/>
    <s v="D"/>
    <s v="Y"/>
    <s v="Y"/>
    <x v="41"/>
    <s v="LELI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7.29"/>
    <n v="788.03"/>
    <n v="641.41"/>
    <n v="1019.79"/>
    <n v="0"/>
    <n v="0"/>
    <n v="607.29"/>
    <n v="788.03"/>
    <n v="641.41"/>
    <n v="1019.79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20H"/>
    <n v="689"/>
    <s v="2018-09-29"/>
    <s v="Historical averaged cost."/>
    <n v="153.66703000000001"/>
    <n v="231.55654000000001"/>
    <n v="231.55654000000001"/>
    <n v="271.17982999999998"/>
    <n v="0"/>
    <n v="0"/>
    <n v="45.96"/>
    <n v="75.319999999999993"/>
    <n v="75.319999999999993"/>
    <n v="88.0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2H"/>
    <n v="1"/>
    <s v="DR"/>
    <s v="D"/>
    <s v="Y"/>
    <s v="Y"/>
    <x v="41"/>
    <s v="LELIU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6.02"/>
    <n v="560.75"/>
    <n v="413.9"/>
    <n v="763.3"/>
    <n v="0"/>
    <n v="0"/>
    <n v="456.02"/>
    <n v="560.75"/>
    <n v="413.9"/>
    <n v="763.3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4D9H"/>
    <n v="706"/>
    <s v="2018-09-29"/>
    <s v="Historical averaged cost."/>
    <n v="111.87472"/>
    <n v="167.13449"/>
    <n v="167.13449"/>
    <n v="184.10584"/>
    <n v="0"/>
    <n v="0"/>
    <n v="35.673699999999997"/>
    <n v="53.000920000000001"/>
    <n v="53.000920000000001"/>
    <n v="61.53712999999999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14H"/>
    <n v="1"/>
    <s v="DR"/>
    <s v="D"/>
    <s v="Y"/>
    <s v="Y"/>
    <x v="41"/>
    <s v="LELI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5.3"/>
    <n v="643.33000000000004"/>
    <n v="496.7"/>
    <n v="870.47"/>
    <n v="0"/>
    <n v="0"/>
    <n v="505.3"/>
    <n v="643.33000000000004"/>
    <n v="496.7"/>
    <n v="870.47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20H"/>
    <n v="674"/>
    <s v="2018-09-29"/>
    <s v="Historical averaged cost."/>
    <n v="153.66703000000001"/>
    <n v="231.55654000000001"/>
    <n v="231.55654000000001"/>
    <n v="271.17982999999998"/>
    <n v="0"/>
    <n v="0"/>
    <n v="45.96"/>
    <n v="75.319999999999993"/>
    <n v="75.319999999999993"/>
    <n v="88.0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2D2H"/>
    <n v="1"/>
    <s v="DR"/>
    <s v="D"/>
    <s v="Y"/>
    <s v="Y"/>
    <x v="41"/>
    <s v="LELI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76"/>
    <n v="874.62"/>
    <n v="726.01"/>
    <n v="1117.8"/>
    <n v="0"/>
    <n v="0"/>
    <n v="667.76"/>
    <n v="874.62"/>
    <n v="726.01"/>
    <n v="1117.8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50D8H"/>
    <n v="1087"/>
    <s v="2018-09-29"/>
    <s v="Historical averaged cost."/>
    <n v="89.532589999999999"/>
    <n v="133.29938999999999"/>
    <n v="133.29938999999999"/>
    <n v="163.43816000000001"/>
    <n v="0"/>
    <n v="0"/>
    <n v="93.006420000000006"/>
    <n v="150.33914999999999"/>
    <n v="150.33914999999999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HKHKG-(AX2)"/>
    <s v="50D2H"/>
    <n v="1"/>
    <s v="DR"/>
    <s v="D"/>
    <s v="Y"/>
    <s v="Y"/>
    <x v="41"/>
    <s v="LELI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6.31"/>
    <n v="873.37"/>
    <n v="724.99"/>
    <n v="1151.57"/>
    <n v="0"/>
    <n v="0"/>
    <n v="656.31"/>
    <n v="873.37"/>
    <n v="724.99"/>
    <n v="1151.57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S"/>
    <s v="48D8H"/>
    <n v="1031"/>
    <s v="2018-09-29"/>
    <s v="Historical averaged cost."/>
    <n v="89.532589999999999"/>
    <n v="133.29938999999999"/>
    <n v="133.29938999999999"/>
    <n v="163.43816000000001"/>
    <n v="0"/>
    <n v="0"/>
    <n v="93.006420000000006"/>
    <n v="150.33914999999999"/>
    <n v="150.33914999999999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X1)-HKHKG-(AX2)"/>
    <s v="48D2H"/>
    <n v="1"/>
    <s v="DR"/>
    <s v="D"/>
    <s v="Y"/>
    <s v="Y"/>
    <x v="41"/>
    <s v="LELI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3.51"/>
    <n v="869.21"/>
    <n v="721.05"/>
    <n v="1145.1099999999999"/>
    <n v="0"/>
    <n v="0"/>
    <n v="653.51"/>
    <n v="869.21"/>
    <n v="721.05"/>
    <n v="1145.1099999999999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X1"/>
    <s v="AX2"/>
    <s v="F"/>
    <m/>
    <s v="S"/>
    <s v="46D8H"/>
    <n v="999"/>
    <s v="2018-09-29"/>
    <s v="Historical averaged cost."/>
    <n v="89.532589999999999"/>
    <n v="133.29938999999999"/>
    <n v="133.29938999999999"/>
    <n v="163.43816000000001"/>
    <n v="0"/>
    <n v="0"/>
    <n v="93.006420000000006"/>
    <n v="150.33914999999999"/>
    <n v="150.33914999999999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7D19H"/>
    <n v="1"/>
    <s v="DR"/>
    <s v="D"/>
    <s v="Y"/>
    <s v="Y"/>
    <x v="41"/>
    <s v="LELIU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9.58000000000004"/>
    <n v="856.13"/>
    <n v="709.06"/>
    <n v="1100.57"/>
    <n v="0"/>
    <n v="0"/>
    <n v="649.58000000000004"/>
    <n v="856.13"/>
    <n v="709.06"/>
    <n v="1100.57"/>
    <n v="0"/>
    <n v="0"/>
    <s v="CNLUU"/>
    <n v="182.73740143200001"/>
    <n v="192.39610250499999"/>
    <n v="21.765274515000002"/>
    <n v="433.60872549599998"/>
    <n v="0"/>
    <n v="0"/>
    <n v="182.73740143200001"/>
    <n v="192.39610250499999"/>
    <n v="21.765274515000002"/>
    <n v="433.608725495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6D1H"/>
    <n v="780"/>
    <s v="2018-09-29"/>
    <s v="Historical averaged cost."/>
    <n v="97.056539999999998"/>
    <n v="144.83482000000001"/>
    <n v="144.83482000000001"/>
    <n v="144.83482000000001"/>
    <n v="0"/>
    <n v="0"/>
    <n v="95.554540000000003"/>
    <n v="146.51696999999999"/>
    <n v="146.51696999999999"/>
    <n v="171.99817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7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3"/>
    <s v="E"/>
    <s v="(AX3)"/>
    <s v="36D18H"/>
    <n v="1"/>
    <s v="DR"/>
    <s v="D"/>
    <s v="Y"/>
    <s v="Y"/>
    <x v="42"/>
    <s v="LIANYUNGANG, JIANGSU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8.21"/>
    <n v="867.74"/>
    <n v="866.38"/>
    <n v="945.16"/>
    <n v="0"/>
    <n v="0"/>
    <n v="598.21"/>
    <n v="867.74"/>
    <n v="866.38"/>
    <n v="945.1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AX3"/>
    <s v="AX3"/>
    <s v="F"/>
    <m/>
    <s v="S"/>
    <s v="35D0H"/>
    <n v="731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2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AX2)"/>
    <s v="32D9H"/>
    <n v="1"/>
    <s v="DR"/>
    <s v="D"/>
    <s v="Y"/>
    <s v="Y"/>
    <x v="42"/>
    <s v="LIANYUNGANG, JIANGSU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6.02"/>
    <n v="903.87"/>
    <n v="903.07"/>
    <n v="1008.93"/>
    <n v="0"/>
    <n v="0"/>
    <n v="596.02"/>
    <n v="903.87"/>
    <n v="903.07"/>
    <n v="1008.93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23"/>
    <n v="676.83"/>
    <n v="676.83"/>
    <n v="0"/>
    <n v="0"/>
    <n v="0"/>
    <m/>
    <m/>
    <m/>
    <m/>
    <m/>
    <m/>
    <m/>
    <m/>
    <m/>
    <m/>
    <m/>
    <m/>
    <s v="AX2"/>
    <s v="AX2"/>
    <s v="F"/>
    <m/>
    <s v="S"/>
    <s v="30D15H"/>
    <n v="608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"/>
    <n v="66.56"/>
    <n v="63.04"/>
    <n v="103.3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3"/>
    <s v="E"/>
    <s v="(MD1)-KRPUS-(AX3)"/>
    <s v="38D18H"/>
    <n v="2"/>
    <s v="DR"/>
    <s v="D"/>
    <s v="Y"/>
    <s v="Y"/>
    <x v="42"/>
    <s v="LIANYUNGANG, JIANGSU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4.66"/>
    <n v="1018.88"/>
    <n v="1017.3"/>
    <n v="1098.5999999999999"/>
    <n v="0"/>
    <n v="0"/>
    <n v="704.66"/>
    <n v="1018.88"/>
    <n v="1017.3"/>
    <n v="1098.5999999999999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MD1"/>
    <s v="AX3"/>
    <s v="F"/>
    <m/>
    <s v="S"/>
    <s v="37D0H"/>
    <n v="804"/>
    <s v="2018-09-29"/>
    <s v="Historical averaged cost."/>
    <n v="72.402259999999998"/>
    <n v="108.10339"/>
    <n v="108.10339"/>
    <n v="143.21652"/>
    <n v="0"/>
    <n v="0"/>
    <n v="125"/>
    <n v="220"/>
    <n v="220"/>
    <n v="26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2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MD1)-KRPUS-(AX2)"/>
    <s v="34D14H"/>
    <n v="2"/>
    <s v="DR"/>
    <s v="D"/>
    <s v="Y"/>
    <s v="Y"/>
    <x v="42"/>
    <s v="LIANYUNGANG, JIANGSU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9.87"/>
    <n v="1071.33"/>
    <n v="1070.19"/>
    <n v="1160.76"/>
    <n v="0"/>
    <n v="0"/>
    <n v="739.87"/>
    <n v="1071.33"/>
    <n v="1070.19"/>
    <n v="1160.7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MD1"/>
    <s v="AX2"/>
    <s v="F"/>
    <m/>
    <s v="S"/>
    <s v="32D20H"/>
    <n v="704"/>
    <s v="2018-09-29"/>
    <s v="Historical averaged cost."/>
    <n v="72.402259999999998"/>
    <n v="108.10339"/>
    <n v="108.10339"/>
    <n v="143.21652"/>
    <n v="0"/>
    <n v="0"/>
    <n v="125"/>
    <n v="220"/>
    <n v="220"/>
    <n v="2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2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42"/>
    <s v="LIANYUNGANG, JIANGSU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28"/>
    <n v="936.06"/>
    <n v="934.05"/>
    <n v="1041.77"/>
    <n v="0"/>
    <n v="0"/>
    <n v="621.28"/>
    <n v="936.06"/>
    <n v="934.05"/>
    <n v="1041.77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23"/>
    <n v="676.83"/>
    <n v="676.83"/>
    <n v="0"/>
    <n v="0"/>
    <n v="0"/>
    <m/>
    <m/>
    <m/>
    <m/>
    <m/>
    <m/>
    <m/>
    <m/>
    <m/>
    <m/>
    <m/>
    <m/>
    <s v="AX3"/>
    <s v="AX3"/>
    <s v="F"/>
    <m/>
    <s v="S"/>
    <s v="41D7H"/>
    <n v="850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AX2)-KRPUS-(AX2)"/>
    <s v="39D21H"/>
    <n v="3"/>
    <s v="DR"/>
    <s v="D"/>
    <s v="Y"/>
    <s v="Y"/>
    <x v="42"/>
    <s v="LIANYUNG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6.25"/>
    <n v="1234.95"/>
    <n v="1233.27"/>
    <n v="1383.06"/>
    <n v="0"/>
    <n v="0"/>
    <n v="796.25"/>
    <n v="1234.95"/>
    <n v="1233.27"/>
    <n v="1383.0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23"/>
    <n v="676.83"/>
    <n v="676.83"/>
    <n v="0"/>
    <n v="0"/>
    <n v="0"/>
    <m/>
    <m/>
    <m/>
    <m/>
    <m/>
    <m/>
    <m/>
    <m/>
    <m/>
    <m/>
    <m/>
    <m/>
    <s v="AX2"/>
    <s v="AX2"/>
    <s v="F"/>
    <m/>
    <s v="T"/>
    <s v="38D3H"/>
    <n v="807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1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39D1H"/>
    <n v="1"/>
    <s v="DR"/>
    <s v="D"/>
    <s v="Y"/>
    <s v="Y"/>
    <x v="42"/>
    <s v="LIANYUNG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2.73"/>
    <n v="1097.48"/>
    <n v="1095.9100000000001"/>
    <n v="1227.81"/>
    <n v="0"/>
    <n v="0"/>
    <n v="702.73"/>
    <n v="1097.48"/>
    <n v="1095.9100000000001"/>
    <n v="1227.8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23"/>
    <n v="676.83"/>
    <n v="676.83"/>
    <n v="0"/>
    <n v="0"/>
    <n v="0"/>
    <m/>
    <m/>
    <m/>
    <m/>
    <m/>
    <m/>
    <m/>
    <m/>
    <m/>
    <m/>
    <m/>
    <m/>
    <s v="AX3"/>
    <s v="AX3"/>
    <s v="F"/>
    <m/>
    <s v="S"/>
    <s v="37D8H"/>
    <n v="820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-PAROD-(AX2)"/>
    <s v="53D14H"/>
    <n v="3"/>
    <s v="DR"/>
    <s v="D"/>
    <s v="Y"/>
    <s v="Y"/>
    <x v="42"/>
    <s v="LIANYUNGANG, JIANGSU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30.48"/>
    <n v="1374.87"/>
    <n v="1371.64"/>
    <n v="1486.15"/>
    <n v="0"/>
    <n v="0"/>
    <n v="1030.48"/>
    <n v="1374.87"/>
    <n v="1371.64"/>
    <n v="1486.15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AX3"/>
    <s v="AX2"/>
    <s v="F"/>
    <m/>
    <s v="T"/>
    <s v="51D20H"/>
    <n v="1135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8.33847100000003"/>
    <n v="481.08048930000001"/>
    <n v="481.08048930000001"/>
    <n v="483.39248730000003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2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3"/>
    <s v="E"/>
    <s v="(9CC)-KRPUS-(AX3)"/>
    <s v="34D19H"/>
    <n v="1"/>
    <s v="DR"/>
    <s v="D"/>
    <s v="Y"/>
    <s v="Y"/>
    <x v="42"/>
    <s v="LIANYUNGANG, JIANGSU"/>
    <x v="28"/>
    <s v="LIANYUNGANG, JIANGSU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2.08"/>
    <n v="987.56"/>
    <n v="986.43"/>
    <n v="1028.82"/>
    <n v="0"/>
    <n v="0"/>
    <n v="672.08"/>
    <n v="987.56"/>
    <n v="986.43"/>
    <n v="1028.82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9CC"/>
    <s v="AX3"/>
    <m/>
    <m/>
    <s v="S"/>
    <s v="33D7H"/>
    <n v="780"/>
    <s v="2018-09-29"/>
    <s v="Historical averaged cost."/>
    <n v="0"/>
    <n v="0"/>
    <n v="0"/>
    <n v="0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26.086927"/>
    <n v="165.3622613"/>
    <n v="165.3622613"/>
    <n v="165.3622613"/>
    <n v="0"/>
    <n v="0"/>
    <n v="148"/>
    <n v="286.75"/>
    <n v="286.75"/>
    <n v="333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"/>
    <s v="46D14H"/>
    <n v="1"/>
    <s v="DR"/>
    <s v="D"/>
    <s v="Y"/>
    <s v="Y"/>
    <x v="42"/>
    <s v="LIANYUNGANG, JIANGSU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6.69"/>
    <n v="1096.31"/>
    <n v="1093.8599999999999"/>
    <n v="1199.55"/>
    <n v="0"/>
    <n v="0"/>
    <n v="756.69"/>
    <n v="1096.31"/>
    <n v="1093.8599999999999"/>
    <n v="1199.55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AX3"/>
    <s v="AX2"/>
    <s v="F"/>
    <m/>
    <s v="S"/>
    <s v="44D20H"/>
    <n v="967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2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AX2)"/>
    <s v="39D21H"/>
    <n v="1"/>
    <s v="DR"/>
    <s v="D"/>
    <s v="Y"/>
    <s v="Y"/>
    <x v="42"/>
    <s v="LIANYUNG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4.27"/>
    <n v="1090.25"/>
    <n v="1088.56"/>
    <n v="1233.73"/>
    <n v="0"/>
    <n v="0"/>
    <n v="694.27"/>
    <n v="1090.25"/>
    <n v="1088.56"/>
    <n v="1233.73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23"/>
    <n v="676.83"/>
    <n v="676.83"/>
    <n v="0"/>
    <n v="0"/>
    <n v="0"/>
    <m/>
    <m/>
    <m/>
    <m/>
    <m/>
    <m/>
    <m/>
    <m/>
    <m/>
    <m/>
    <m/>
    <m/>
    <s v="AX2"/>
    <s v="AX2"/>
    <s v="F"/>
    <m/>
    <s v="S"/>
    <s v="38D3H"/>
    <n v="807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960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44D1H"/>
    <n v="1"/>
    <s v="DR"/>
    <s v="D"/>
    <s v="Y"/>
    <s v="Y"/>
    <x v="43"/>
    <s v="NANCHANG, JIANGX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4.68"/>
    <n v="4762.7"/>
    <n v="1191.99"/>
    <n v="610.57000000000005"/>
    <n v="0"/>
    <n v="0"/>
    <n v="754.68"/>
    <n v="4762.7"/>
    <n v="1191.99"/>
    <n v="610.57000000000005"/>
    <n v="0"/>
    <n v="0"/>
    <s v="CNKHN"/>
    <n v="283.74309242200002"/>
    <n v="4019.8227142699998"/>
    <n v="426.20999147399999"/>
    <n v="-171.06487272300001"/>
    <n v="0"/>
    <n v="0"/>
    <n v="283.74309242200002"/>
    <n v="4019.8227142699998"/>
    <n v="426.20999147399999"/>
    <n v="-171.06487272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2D8H"/>
    <n v="820"/>
    <s v="2018-09-29"/>
    <s v="Historical averaged cost."/>
    <n v="99.140680000000003"/>
    <n v="148.71053000000001"/>
    <n v="148.71053000000001"/>
    <n v="179.43451999999999"/>
    <n v="0"/>
    <n v="0"/>
    <n v="225"/>
    <n v="420"/>
    <n v="420"/>
    <n v="49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83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4D21H"/>
    <n v="3"/>
    <s v="DR"/>
    <s v="D"/>
    <s v="Y"/>
    <s v="Y"/>
    <x v="43"/>
    <s v="NANCHANG, JIANGX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8.21"/>
    <n v="4900.17"/>
    <n v="1329.36"/>
    <n v="765.81"/>
    <n v="0"/>
    <n v="0"/>
    <n v="848.21"/>
    <n v="4900.17"/>
    <n v="1329.36"/>
    <n v="765.81"/>
    <n v="0"/>
    <n v="0"/>
    <s v="CNKHN"/>
    <n v="283.74309242200002"/>
    <n v="4019.8227142699998"/>
    <n v="426.20999147399999"/>
    <n v="-171.06487272300001"/>
    <n v="0"/>
    <n v="0"/>
    <n v="283.74309242200002"/>
    <n v="4019.8227142699998"/>
    <n v="426.20999147399999"/>
    <n v="-171.06487272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3D3H"/>
    <n v="807"/>
    <s v="2018-09-29"/>
    <s v="Historical averaged cost."/>
    <n v="99.140680000000003"/>
    <n v="148.71053000000001"/>
    <n v="148.71053000000001"/>
    <n v="179.43451999999999"/>
    <n v="0"/>
    <n v="0"/>
    <n v="225"/>
    <n v="420"/>
    <n v="420"/>
    <n v="49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83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4D21H"/>
    <n v="1"/>
    <s v="DR"/>
    <s v="D"/>
    <s v="Y"/>
    <s v="Y"/>
    <x v="43"/>
    <s v="NANCHANG, JIANGX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6.22"/>
    <n v="4755.47"/>
    <n v="1184.6500000000001"/>
    <n v="616.49"/>
    <n v="0"/>
    <n v="0"/>
    <n v="746.22"/>
    <n v="4755.47"/>
    <n v="1184.6500000000001"/>
    <n v="616.49"/>
    <n v="0"/>
    <n v="0"/>
    <s v="CNKHN"/>
    <n v="283.74309242200002"/>
    <n v="4019.8227142699998"/>
    <n v="426.20999147399999"/>
    <n v="-171.06487272300001"/>
    <n v="0"/>
    <n v="0"/>
    <n v="283.74309242200002"/>
    <n v="4019.8227142699998"/>
    <n v="426.20999147399999"/>
    <n v="-171.064872723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3D3H"/>
    <n v="807"/>
    <s v="2018-09-29"/>
    <s v="Historical averaged cost."/>
    <n v="99.140680000000003"/>
    <n v="148.71053000000001"/>
    <n v="148.71053000000001"/>
    <n v="179.43451999999999"/>
    <n v="0"/>
    <n v="0"/>
    <n v="225"/>
    <n v="420"/>
    <n v="420"/>
    <n v="49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83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2D1H"/>
    <n v="1"/>
    <s v="DR"/>
    <s v="D"/>
    <s v="Y"/>
    <s v="Y"/>
    <x v="44"/>
    <s v="NANJING, JIANGSU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3"/>
    <n v="892.46"/>
    <n v="866.64"/>
    <n v="968.23"/>
    <n v="0"/>
    <n v="0"/>
    <n v="593"/>
    <n v="892.46"/>
    <n v="866.64"/>
    <n v="968.23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0D7H"/>
    <n v="850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154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1D9H"/>
    <n v="1"/>
    <s v="DR"/>
    <s v="D"/>
    <s v="Y"/>
    <s v="Y"/>
    <x v="44"/>
    <s v="NANJING, JIANGSU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7.74"/>
    <n v="860.27"/>
    <n v="835.65"/>
    <n v="935.39"/>
    <n v="0"/>
    <n v="0"/>
    <n v="567.74"/>
    <n v="860.27"/>
    <n v="835.65"/>
    <n v="935.3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29D15H"/>
    <n v="608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154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3D21H"/>
    <n v="1"/>
    <s v="DR"/>
    <s v="D"/>
    <s v="Y"/>
    <s v="Y"/>
    <x v="44"/>
    <s v="NANJI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5.30999999999995"/>
    <n v="985.33"/>
    <n v="959.28"/>
    <n v="1096.6199999999999"/>
    <n v="0"/>
    <n v="0"/>
    <n v="645.30999999999995"/>
    <n v="985.33"/>
    <n v="959.28"/>
    <n v="1096.619999999999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154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44"/>
    <s v="NANJI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3.77"/>
    <n v="992.56"/>
    <n v="966.63"/>
    <n v="1090.7"/>
    <n v="0"/>
    <n v="0"/>
    <n v="653.77"/>
    <n v="992.56"/>
    <n v="966.63"/>
    <n v="1090.7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1D8H"/>
    <n v="820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154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3D21H"/>
    <n v="3"/>
    <s v="DR"/>
    <s v="D"/>
    <s v="Y"/>
    <s v="Y"/>
    <x v="44"/>
    <s v="NANJI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7.29"/>
    <n v="1130.03"/>
    <n v="1103.99"/>
    <n v="1245.95"/>
    <n v="0"/>
    <n v="0"/>
    <n v="747.29"/>
    <n v="1130.03"/>
    <n v="1103.99"/>
    <n v="1245.95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154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CSW)-KRPUS-(AX2)"/>
    <s v="33D1H"/>
    <n v="3"/>
    <s v="DR"/>
    <s v="D"/>
    <s v="Y"/>
    <s v="Y"/>
    <x v="15"/>
    <s v="NANSHA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3.96"/>
    <n v="647.20000000000005"/>
    <n v="845.17"/>
    <n v="651.88"/>
    <n v="0"/>
    <n v="0"/>
    <n v="563.96"/>
    <n v="647.20000000000005"/>
    <n v="845.17"/>
    <n v="651.88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7H"/>
    <n v="689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2H"/>
    <n v="1"/>
    <s v="DR"/>
    <s v="D"/>
    <s v="Y"/>
    <s v="Y"/>
    <x v="15"/>
    <s v="NANSHA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3.74"/>
    <n v="391.87"/>
    <n v="589.51"/>
    <n v="378.08"/>
    <n v="0"/>
    <n v="0"/>
    <n v="393.74"/>
    <n v="391.87"/>
    <n v="589.51"/>
    <n v="378.08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4D9H"/>
    <n v="706"/>
    <s v="2018-09-29"/>
    <s v="Historical averaged cost."/>
    <n v="110.87472"/>
    <n v="166.13449"/>
    <n v="166.13449"/>
    <n v="183.10584"/>
    <n v="0"/>
    <n v="0"/>
    <n v="37.71219"/>
    <n v="56.695700000000002"/>
    <n v="56.695700000000002"/>
    <n v="64.5948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5D15H"/>
    <n v="1"/>
    <s v="DR"/>
    <s v="D"/>
    <s v="Y"/>
    <s v="Y"/>
    <x v="15"/>
    <s v="NANSHA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5.14"/>
    <n v="530.48"/>
    <n v="728.11"/>
    <n v="531.44000000000005"/>
    <n v="0"/>
    <n v="0"/>
    <n v="485.14"/>
    <n v="530.48"/>
    <n v="728.11"/>
    <n v="531.44000000000005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m/>
    <m/>
    <s v="S"/>
    <s v="34D3H"/>
    <n v="780"/>
    <s v="2018-09-29"/>
    <s v="Historical averaged cost."/>
    <n v="94.291309999999996"/>
    <n v="141.43696"/>
    <n v="141.43696"/>
    <n v="141.43696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5D2H"/>
    <n v="1"/>
    <s v="DR"/>
    <s v="D"/>
    <s v="Y"/>
    <s v="Y"/>
    <x v="15"/>
    <s v="NANSHA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9.30999999999995"/>
    <n v="713.8"/>
    <n v="910.44"/>
    <n v="766.71"/>
    <n v="0"/>
    <n v="0"/>
    <n v="599.30999999999995"/>
    <n v="713.8"/>
    <n v="910.44"/>
    <n v="766.71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3D9H"/>
    <n v="962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7D5H"/>
    <n v="2"/>
    <s v="DR"/>
    <s v="D"/>
    <s v="Y"/>
    <s v="Y"/>
    <x v="15"/>
    <s v="NANSHA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6.76"/>
    <n v="694.24"/>
    <n v="891.77"/>
    <n v="700.65"/>
    <n v="0"/>
    <n v="0"/>
    <n v="596.76"/>
    <n v="694.24"/>
    <n v="891.77"/>
    <n v="700.65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5D12H"/>
    <n v="765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1D5H"/>
    <n v="1"/>
    <s v="DR"/>
    <s v="D"/>
    <s v="Y"/>
    <s v="Y"/>
    <x v="15"/>
    <s v="NANSHA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5.08"/>
    <n v="779.02"/>
    <n v="969.7"/>
    <n v="701.38"/>
    <n v="0"/>
    <n v="0"/>
    <n v="745.08"/>
    <n v="779.02"/>
    <n v="969.7"/>
    <n v="701.38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49D12H"/>
    <n v="1101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HKHKG-(AX2)"/>
    <s v="49D2H"/>
    <n v="1"/>
    <s v="DR"/>
    <s v="D"/>
    <s v="Y"/>
    <s v="Y"/>
    <x v="15"/>
    <s v="NANSHA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4.91"/>
    <n v="722.12"/>
    <n v="918.32"/>
    <n v="779.63"/>
    <n v="0"/>
    <n v="0"/>
    <n v="604.91"/>
    <n v="722.12"/>
    <n v="918.32"/>
    <n v="779.63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S"/>
    <s v="47D8H"/>
    <n v="1031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1H"/>
    <n v="1"/>
    <s v="DR"/>
    <s v="D"/>
    <s v="Y"/>
    <s v="Y"/>
    <x v="15"/>
    <s v="NANSHA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1.97"/>
    <n v="502.5"/>
    <n v="700.47"/>
    <n v="502.56"/>
    <n v="0"/>
    <n v="0"/>
    <n v="461.97"/>
    <n v="502.5"/>
    <n v="700.47"/>
    <n v="502.56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7H"/>
    <n v="674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X1)-HKHKG-(AX2)"/>
    <s v="47D2H"/>
    <n v="1"/>
    <s v="DR"/>
    <s v="D"/>
    <s v="Y"/>
    <s v="Y"/>
    <x v="15"/>
    <s v="NANSHA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2.11"/>
    <n v="717.96"/>
    <n v="914.38"/>
    <n v="773.17"/>
    <n v="0"/>
    <n v="0"/>
    <n v="602.11"/>
    <n v="717.96"/>
    <n v="914.38"/>
    <n v="773.17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X1"/>
    <s v="AX2"/>
    <s v="F"/>
    <m/>
    <s v="S"/>
    <s v="45D8H"/>
    <n v="999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1D2H"/>
    <n v="1"/>
    <s v="DR"/>
    <s v="D"/>
    <s v="Y"/>
    <s v="Y"/>
    <x v="15"/>
    <s v="NANSHA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6.36"/>
    <n v="723.36"/>
    <n v="919.35"/>
    <n v="745.87"/>
    <n v="0"/>
    <n v="0"/>
    <n v="616.36"/>
    <n v="723.36"/>
    <n v="919.35"/>
    <n v="745.87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49D8H"/>
    <n v="1087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03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"/>
    <s v="43D21H"/>
    <n v="3"/>
    <s v="DR"/>
    <s v="D"/>
    <s v="Y"/>
    <s v="Y"/>
    <x v="45"/>
    <s v="NANTO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8.81"/>
    <n v="1129.23"/>
    <n v="1103.1400000000001"/>
    <n v="4823.49"/>
    <n v="0"/>
    <n v="0"/>
    <n v="748.81"/>
    <n v="1129.23"/>
    <n v="1103.1400000000001"/>
    <n v="4823.49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3104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3D21H"/>
    <n v="1"/>
    <s v="DR"/>
    <s v="D"/>
    <s v="Y"/>
    <s v="Y"/>
    <x v="45"/>
    <s v="NANTO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6.82000000000005"/>
    <n v="984.52"/>
    <n v="958.44"/>
    <n v="4674.17"/>
    <n v="0"/>
    <n v="0"/>
    <n v="646.82000000000005"/>
    <n v="984.52"/>
    <n v="958.44"/>
    <n v="4674.17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3104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45"/>
    <s v="NANTO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5.29"/>
    <n v="991.75"/>
    <n v="965.78"/>
    <n v="4668.25"/>
    <n v="0"/>
    <n v="0"/>
    <n v="655.29"/>
    <n v="991.75"/>
    <n v="965.78"/>
    <n v="4668.25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1D8H"/>
    <n v="820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3104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CI2)-HKHKG-(AX2)"/>
    <s v="50D5H"/>
    <n v="1"/>
    <s v="DR"/>
    <s v="D"/>
    <s v="Y"/>
    <s v="Y"/>
    <x v="16"/>
    <s v="NHAVA SHEVA"/>
    <x v="0"/>
    <s v="NHAVA SHEVA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8.75"/>
    <n v="516.69000000000005"/>
    <n v="454.72"/>
    <n v="4544.09"/>
    <n v="0"/>
    <n v="0"/>
    <n v="398.75"/>
    <n v="516.69000000000005"/>
    <n v="454.72"/>
    <n v="4544.0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3.93"/>
    <n v="703.08"/>
    <n v="703.08"/>
    <n v="0"/>
    <n v="0"/>
    <n v="0"/>
    <m/>
    <m/>
    <m/>
    <m/>
    <m/>
    <m/>
    <m/>
    <m/>
    <m/>
    <m/>
    <m/>
    <m/>
    <s v="CI2"/>
    <s v="AX2"/>
    <m/>
    <m/>
    <s v="S"/>
    <s v="48D17H"/>
    <n v="1091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4014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11"/>
    <x v="11"/>
    <x v="11"/>
    <x v="0"/>
    <x v="0"/>
    <x v="0"/>
    <m/>
    <m/>
    <m/>
    <m/>
    <m/>
    <m/>
  </r>
  <r>
    <s v="LW"/>
    <s v="LWE"/>
    <s v="LWT"/>
    <s v="LW"/>
    <s v="AX2"/>
    <s v="E"/>
    <s v="(NCI)-SGSIN-(MD2)-KRPUS-(AX2)"/>
    <s v="62D21H"/>
    <n v="3"/>
    <s v="DR"/>
    <s v="D"/>
    <s v="Y"/>
    <s v="Y"/>
    <x v="16"/>
    <s v="NHAVA SHEVA"/>
    <x v="0"/>
    <s v="NHAVA SHEVA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5.63"/>
    <n v="558.01"/>
    <n v="501.54"/>
    <n v="4490.6000000000004"/>
    <n v="0"/>
    <n v="0"/>
    <n v="485.63"/>
    <n v="558.01"/>
    <n v="501.54"/>
    <n v="4490.60000000000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3.93"/>
    <n v="703.08"/>
    <n v="703.08"/>
    <n v="0"/>
    <n v="0"/>
    <n v="0"/>
    <m/>
    <m/>
    <m/>
    <m/>
    <m/>
    <m/>
    <m/>
    <m/>
    <m/>
    <m/>
    <m/>
    <m/>
    <s v="NCI"/>
    <s v="AX2"/>
    <m/>
    <m/>
    <s v="T"/>
    <s v="61D9H"/>
    <n v="1403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4014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11"/>
    <x v="11"/>
    <x v="11"/>
    <x v="0"/>
    <x v="0"/>
    <x v="0"/>
    <m/>
    <m/>
    <m/>
    <m/>
    <m/>
    <m/>
  </r>
  <r>
    <s v="LW"/>
    <s v="LWE"/>
    <s v="LWT"/>
    <s v="LW"/>
    <s v="AX3"/>
    <s v="E"/>
    <s v="(AX3)"/>
    <s v="38D19H"/>
    <n v="1"/>
    <s v="DR"/>
    <s v="D"/>
    <s v="Y"/>
    <s v="Y"/>
    <x v="17"/>
    <s v="NINGBO, ZHEJIANG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0.49"/>
    <n v="527.04999999999995"/>
    <n v="530.23"/>
    <n v="503.37"/>
    <n v="0"/>
    <n v="0"/>
    <n v="370.49"/>
    <n v="527.04999999999995"/>
    <n v="530.23"/>
    <n v="503.37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94"/>
    <n v="678.44"/>
    <n v="678.44"/>
    <n v="0"/>
    <n v="0"/>
    <n v="0"/>
    <m/>
    <m/>
    <m/>
    <m/>
    <m/>
    <m/>
    <m/>
    <m/>
    <m/>
    <m/>
    <m/>
    <m/>
    <s v="AX3"/>
    <s v="AX3"/>
    <m/>
    <m/>
    <s v="S"/>
    <s v="37D7H"/>
    <n v="850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34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2"/>
    <x v="12"/>
    <x v="12"/>
    <x v="0"/>
    <x v="0"/>
    <x v="0"/>
    <m/>
    <m/>
    <m/>
    <m/>
    <m/>
    <m/>
  </r>
  <r>
    <s v="LW"/>
    <s v="LWE"/>
    <s v="LWT"/>
    <s v="LW"/>
    <s v="AX2"/>
    <s v="E"/>
    <s v="(AX2)"/>
    <s v="28D3H"/>
    <n v="1"/>
    <s v="DR"/>
    <s v="D"/>
    <s v="Y"/>
    <s v="Y"/>
    <x v="17"/>
    <s v="NINGBO, ZHEJIANG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5.23"/>
    <n v="494.85"/>
    <n v="499.25"/>
    <n v="470.53"/>
    <n v="0"/>
    <n v="0"/>
    <n v="345.23"/>
    <n v="494.85"/>
    <n v="499.25"/>
    <n v="470.53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94"/>
    <n v="678.44"/>
    <n v="678.44"/>
    <n v="0"/>
    <n v="0"/>
    <n v="0"/>
    <m/>
    <m/>
    <m/>
    <m/>
    <m/>
    <m/>
    <m/>
    <m/>
    <m/>
    <m/>
    <m/>
    <m/>
    <s v="AX2"/>
    <s v="AX2"/>
    <m/>
    <m/>
    <s v="S"/>
    <s v="26D15H"/>
    <n v="608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200000000000003"/>
    <n v="58.24"/>
    <n v="55.16"/>
    <n v="90.4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342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2"/>
    <x v="12"/>
    <x v="12"/>
    <x v="0"/>
    <x v="0"/>
    <x v="0"/>
    <m/>
    <m/>
    <m/>
    <m/>
    <m/>
    <m/>
  </r>
  <r>
    <s v="LW"/>
    <s v="LWE"/>
    <s v="LWT"/>
    <s v="LW"/>
    <s v="AX2"/>
    <s v="E"/>
    <s v="(9SQ)-SGSIN-(KME)-KRPUS-(AX2)"/>
    <s v="48D15H"/>
    <n v="1"/>
    <s v="DR"/>
    <s v="D"/>
    <s v="Y"/>
    <s v="Y"/>
    <x v="46"/>
    <s v="PASIR GUDANG"/>
    <x v="29"/>
    <s v="PASIR GUD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7.97"/>
    <n v="1074.6600000000001"/>
    <n v="769.11"/>
    <n v="1027.05"/>
    <n v="0"/>
    <n v="0"/>
    <n v="677.97"/>
    <n v="1074.6600000000001"/>
    <n v="769.11"/>
    <n v="1027.05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9SQ"/>
    <s v="AX2"/>
    <m/>
    <m/>
    <s v="S"/>
    <s v="47D3H"/>
    <n v="1118"/>
    <s v="2018-09-29"/>
    <s v="Historical averaged cost."/>
    <n v="2.64"/>
    <n v="2.64"/>
    <n v="2.64"/>
    <n v="2.6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28.88818857000001"/>
    <n v="294.55400257000002"/>
    <n v="294.55400257000002"/>
    <n v="304.74013222000002"/>
    <n v="0"/>
    <n v="0"/>
    <n v="125"/>
    <n v="225"/>
    <n v="225"/>
    <n v="235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430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9SQ)-SGSIN-(MD3)-KRPUS-(AX2)"/>
    <s v="48D15H"/>
    <n v="2"/>
    <s v="DR"/>
    <s v="D"/>
    <s v="Y"/>
    <s v="Y"/>
    <x v="46"/>
    <s v="PASIR GUDANG"/>
    <x v="29"/>
    <s v="PASIR GUD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7.2"/>
    <n v="1070.96"/>
    <n v="765.42"/>
    <n v="1015.48"/>
    <n v="0"/>
    <n v="0"/>
    <n v="677.2"/>
    <n v="1070.96"/>
    <n v="765.42"/>
    <n v="1015.48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9SQ"/>
    <s v="AX2"/>
    <m/>
    <m/>
    <s v="S"/>
    <s v="47D3H"/>
    <n v="1118"/>
    <s v="2018-09-29"/>
    <s v="Historical averaged cost."/>
    <n v="2.64"/>
    <n v="2.64"/>
    <n v="2.64"/>
    <n v="2.6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28.11596857000001"/>
    <n v="290.85798686999999"/>
    <n v="290.85798686999999"/>
    <n v="293.16998487000001"/>
    <n v="0"/>
    <n v="0"/>
    <n v="125"/>
    <n v="225"/>
    <n v="225"/>
    <n v="235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430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3"/>
    <s v="E"/>
    <s v="(9SQ)-SGSIN-(AGX)-KRPUS-(AX3)"/>
    <s v="59D19H"/>
    <n v="2"/>
    <s v="DR"/>
    <s v="D"/>
    <s v="Y"/>
    <s v="Y"/>
    <x v="46"/>
    <s v="PASIR GUDANG"/>
    <x v="29"/>
    <s v="PASIR GUD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1.79"/>
    <n v="1033.07"/>
    <n v="726.31"/>
    <n v="975.92"/>
    <n v="0"/>
    <n v="0"/>
    <n v="651.79"/>
    <n v="1033.07"/>
    <n v="726.31"/>
    <n v="975.92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9SQ"/>
    <s v="AX3"/>
    <m/>
    <m/>
    <s v="S"/>
    <s v="58D7H"/>
    <n v="1386"/>
    <s v="2018-09-29"/>
    <s v="Historical averaged cost."/>
    <n v="2.64"/>
    <n v="2.64"/>
    <n v="2.64"/>
    <n v="2.6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430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3"/>
    <s v="E"/>
    <s v="(9SQ)-SGSIN-(KME)-KRPUS-(AX3)"/>
    <s v="52D19H"/>
    <n v="2"/>
    <s v="DR"/>
    <s v="D"/>
    <s v="Y"/>
    <s v="Y"/>
    <x v="46"/>
    <s v="PASIR GUDANG"/>
    <x v="29"/>
    <s v="PASIR GUD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5.92"/>
    <n v="1095.74"/>
    <n v="789.75"/>
    <n v="1038.4100000000001"/>
    <n v="0"/>
    <n v="0"/>
    <n v="695.92"/>
    <n v="1095.74"/>
    <n v="789.75"/>
    <n v="1038.4100000000001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9SQ"/>
    <s v="AX3"/>
    <m/>
    <m/>
    <s v="S"/>
    <s v="51D7H"/>
    <n v="1218"/>
    <s v="2018-09-29"/>
    <s v="Historical averaged cost."/>
    <n v="2.64"/>
    <n v="2.64"/>
    <n v="2.64"/>
    <n v="2.6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31.36688157"/>
    <n v="297.99889587000001"/>
    <n v="297.99889587000001"/>
    <n v="305.87302751999999"/>
    <n v="0"/>
    <n v="0"/>
    <n v="125"/>
    <n v="225"/>
    <n v="225"/>
    <n v="235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430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MD2)-KRPUS-(AX2)"/>
    <s v="49D7H"/>
    <n v="1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9.44000000000005"/>
    <n v="946.32"/>
    <n v="997.26"/>
    <n v="869.45"/>
    <n v="0"/>
    <n v="0"/>
    <n v="639.44000000000005"/>
    <n v="946.32"/>
    <n v="997.26"/>
    <n v="869.4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2"/>
    <s v="AX2"/>
    <m/>
    <m/>
    <s v="S"/>
    <s v="47D19H"/>
    <n v="108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1)-SGSIN-(MD3)-KRPUS-(AX2)"/>
    <s v="47D15H"/>
    <n v="1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04"/>
    <n v="944.24"/>
    <n v="995.29"/>
    <n v="866.22"/>
    <n v="0"/>
    <n v="0"/>
    <n v="638.04"/>
    <n v="944.24"/>
    <n v="995.29"/>
    <n v="866.22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1"/>
    <s v="AX2"/>
    <m/>
    <m/>
    <s v="S"/>
    <s v="46D3H"/>
    <n v="107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7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1)-SGSIN-(AR1)-KRPUS-(AX2)"/>
    <s v="47D15H"/>
    <n v="2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04"/>
    <n v="944.24"/>
    <n v="995.29"/>
    <n v="866.22"/>
    <n v="0"/>
    <n v="0"/>
    <n v="638.04"/>
    <n v="944.24"/>
    <n v="995.29"/>
    <n v="866.22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1"/>
    <s v="AX2"/>
    <m/>
    <m/>
    <s v="S"/>
    <s v="46D3H"/>
    <n v="107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8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NX2)-KRPUS-(AX2)"/>
    <s v="49D7H"/>
    <n v="1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9.44000000000005"/>
    <n v="946.32"/>
    <n v="997.26"/>
    <n v="869.45"/>
    <n v="0"/>
    <n v="0"/>
    <n v="639.44000000000005"/>
    <n v="946.32"/>
    <n v="997.26"/>
    <n v="869.4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2"/>
    <s v="AX2"/>
    <m/>
    <m/>
    <s v="S"/>
    <s v="47D19H"/>
    <n v="108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AGX)-KRPUS-(AX2)"/>
    <s v="56D7H"/>
    <n v="1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9.24"/>
    <n v="960.88"/>
    <n v="1011.05"/>
    <n v="892.06"/>
    <n v="0"/>
    <n v="0"/>
    <n v="649.24"/>
    <n v="960.88"/>
    <n v="1011.05"/>
    <n v="892.06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2"/>
    <s v="AX2"/>
    <m/>
    <m/>
    <s v="S"/>
    <s v="54D19H"/>
    <n v="1255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CSW)-KRPUS-(AX2)"/>
    <s v="49D7H"/>
    <n v="1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7.09"/>
    <n v="873.93"/>
    <n v="924.87"/>
    <n v="799.38"/>
    <n v="0"/>
    <n v="0"/>
    <n v="587.09"/>
    <n v="873.93"/>
    <n v="924.87"/>
    <n v="799.38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2"/>
    <s v="AX2"/>
    <m/>
    <m/>
    <s v="S"/>
    <s v="47D19H"/>
    <n v="108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KME)-KRPUS-(AX2)"/>
    <s v="49D7H"/>
    <n v="1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0.21"/>
    <n v="950.01"/>
    <n v="1000.95"/>
    <n v="881.02"/>
    <n v="0"/>
    <n v="0"/>
    <n v="640.21"/>
    <n v="950.01"/>
    <n v="1000.95"/>
    <n v="881.02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2"/>
    <s v="AX2"/>
    <m/>
    <m/>
    <s v="S"/>
    <s v="47D19H"/>
    <n v="108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3.34868613999998"/>
    <n v="369.01450014"/>
    <n v="369.01450014"/>
    <n v="379.20062978999999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6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MD3)-KRPUS-(AX2)"/>
    <s v="49D7H"/>
    <n v="1"/>
    <s v="DR"/>
    <s v="D"/>
    <s v="Y"/>
    <s v="Y"/>
    <x v="18"/>
    <s v="PENANG"/>
    <x v="16"/>
    <s v="PEN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9.44000000000005"/>
    <n v="946.32"/>
    <n v="997.26"/>
    <n v="869.45"/>
    <n v="0"/>
    <n v="0"/>
    <n v="639.44000000000005"/>
    <n v="946.32"/>
    <n v="997.26"/>
    <n v="869.4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PF2"/>
    <s v="AX2"/>
    <m/>
    <m/>
    <s v="S"/>
    <s v="47D19H"/>
    <n v="1087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8342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NX2)-KRPUS-(AX2)"/>
    <s v="46D2H"/>
    <n v="1"/>
    <s v="DR"/>
    <s v="D"/>
    <s v="Y"/>
    <s v="Y"/>
    <x v="47"/>
    <s v="PORT KLANG"/>
    <x v="30"/>
    <s v="PORT KL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5.89"/>
    <n v="662.39"/>
    <n v="536.38"/>
    <n v="806.05"/>
    <n v="0"/>
    <n v="0"/>
    <n v="355.89"/>
    <n v="662.39"/>
    <n v="536.38"/>
    <n v="806.05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NX2"/>
    <s v="AX2"/>
    <m/>
    <m/>
    <s v="S"/>
    <s v="44D14H"/>
    <n v="1040"/>
    <s v="2018-09-29"/>
    <s v="Historical averaged cost."/>
    <n v="68.94359"/>
    <n v="104.02915"/>
    <n v="104.02915"/>
    <n v="124.38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0482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AGX)-KRPUS-(AX2)"/>
    <s v="42D16H"/>
    <n v="1"/>
    <s v="DR"/>
    <s v="D"/>
    <s v="Y"/>
    <s v="Y"/>
    <x v="47"/>
    <s v="PORT KLANG"/>
    <x v="30"/>
    <s v="PORT KL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1.69"/>
    <n v="656.15"/>
    <n v="530.47"/>
    <n v="796.36"/>
    <n v="0"/>
    <n v="0"/>
    <n v="351.69"/>
    <n v="656.15"/>
    <n v="530.47"/>
    <n v="796.36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AGX"/>
    <s v="AX2"/>
    <m/>
    <m/>
    <s v="S"/>
    <s v="41D4H"/>
    <n v="961"/>
    <s v="2018-09-29"/>
    <s v="Historical averaged cost."/>
    <n v="68.94359"/>
    <n v="104.02915"/>
    <n v="104.02915"/>
    <n v="124.38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0482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NX2)-HKHKG-(AX2)"/>
    <s v="46D2H"/>
    <n v="2"/>
    <s v="DR"/>
    <s v="D"/>
    <s v="Y"/>
    <s v="Y"/>
    <x v="47"/>
    <s v="PORT KLANG"/>
    <x v="30"/>
    <s v="PORT KL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7.24"/>
    <n v="665.3"/>
    <n v="539.29"/>
    <n v="846.28"/>
    <n v="0"/>
    <n v="0"/>
    <n v="347.24"/>
    <n v="665.3"/>
    <n v="539.29"/>
    <n v="846.28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92"/>
    <n v="678.53"/>
    <n v="678.53"/>
    <n v="0"/>
    <n v="0"/>
    <n v="0"/>
    <m/>
    <m/>
    <m/>
    <m/>
    <m/>
    <m/>
    <m/>
    <m/>
    <m/>
    <m/>
    <m/>
    <m/>
    <s v="NX2"/>
    <s v="AX2"/>
    <m/>
    <m/>
    <s v="S"/>
    <s v="44D14H"/>
    <n v="1040"/>
    <s v="2018-09-29"/>
    <s v="Historical averaged cost."/>
    <n v="68.94359"/>
    <n v="104.02915"/>
    <n v="104.02915"/>
    <n v="124.389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0482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2"/>
    <x v="2"/>
    <x v="2"/>
    <x v="13"/>
    <x v="13"/>
    <x v="13"/>
    <x v="0"/>
    <x v="0"/>
    <x v="0"/>
    <m/>
    <m/>
    <m/>
    <m/>
    <m/>
    <m/>
  </r>
  <r>
    <s v="LW"/>
    <s v="LWE"/>
    <s v="LWT"/>
    <s v="LW"/>
    <s v="AX2"/>
    <s v="E"/>
    <s v="(AX2)"/>
    <s v="26D7H"/>
    <n v="1"/>
    <s v="DR"/>
    <s v="D"/>
    <s v="Y"/>
    <s v="Y"/>
    <x v="20"/>
    <s v="PUSAN"/>
    <x v="17"/>
    <s v="PUS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0.79"/>
    <n v="461.11"/>
    <n v="443.84"/>
    <n v="374.92"/>
    <n v="0"/>
    <n v="0"/>
    <n v="380.79"/>
    <n v="461.11"/>
    <n v="443.84"/>
    <n v="374.92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64.21"/>
    <n v="694.61"/>
    <n v="694.61"/>
    <n v="0"/>
    <n v="0"/>
    <n v="0"/>
    <m/>
    <m/>
    <m/>
    <m/>
    <m/>
    <m/>
    <m/>
    <m/>
    <m/>
    <m/>
    <m/>
    <m/>
    <s v="AX2"/>
    <s v="AX2"/>
    <m/>
    <m/>
    <s v="S"/>
    <s v="24D20H"/>
    <n v="553"/>
    <s v="2018-09-29"/>
    <s v="Historical averaged cost."/>
    <n v="102.23587000000001"/>
    <n v="144.99600000000001"/>
    <n v="144.99600000000001"/>
    <n v="149.26430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4"/>
    <n v="54.08"/>
    <n v="51.22"/>
    <n v="83.9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47620002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2"/>
    <x v="2"/>
    <x v="2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3"/>
    <s v="E"/>
    <s v="(AX3)"/>
    <s v="30D23H"/>
    <n v="1"/>
    <s v="DR"/>
    <s v="D"/>
    <s v="Y"/>
    <s v="Y"/>
    <x v="20"/>
    <s v="PUSAN"/>
    <x v="17"/>
    <s v="PUS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4.86"/>
    <n v="474.74"/>
    <n v="456.92"/>
    <n v="378.03"/>
    <n v="0"/>
    <n v="0"/>
    <n v="394.86"/>
    <n v="474.74"/>
    <n v="456.92"/>
    <n v="378.03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64.21"/>
    <n v="694.61"/>
    <n v="694.61"/>
    <n v="0"/>
    <n v="0"/>
    <n v="0"/>
    <m/>
    <m/>
    <m/>
    <m/>
    <m/>
    <m/>
    <m/>
    <m/>
    <m/>
    <m/>
    <m/>
    <m/>
    <s v="AX3"/>
    <s v="AX3"/>
    <m/>
    <m/>
    <s v="S"/>
    <s v="29D11H"/>
    <n v="667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47620001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2"/>
    <x v="2"/>
    <x v="2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2"/>
    <s v="E"/>
    <s v="(AX3)-KRPUS-(AX2)-PAROD-(AX2)"/>
    <s v="52D8H"/>
    <n v="3"/>
    <s v="DR"/>
    <s v="D"/>
    <s v="Y"/>
    <s v="Y"/>
    <x v="21"/>
    <s v="QINGDAO, SHANDONG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2.91"/>
    <n v="984.08"/>
    <n v="993.7"/>
    <n v="1006.41"/>
    <n v="0"/>
    <n v="0"/>
    <n v="812.91"/>
    <n v="984.08"/>
    <n v="993.7"/>
    <n v="1006.41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AX3"/>
    <s v="AX2"/>
    <m/>
    <m/>
    <s v="T"/>
    <s v="50D20H"/>
    <n v="1135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8.33847100000003"/>
    <n v="481.08048930000001"/>
    <n v="481.08048930000001"/>
    <n v="483.3924873000000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245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3"/>
    <s v="E"/>
    <s v="(MD1)-KRPUS-(AX3)"/>
    <s v="37D12H"/>
    <n v="2"/>
    <s v="DR"/>
    <s v="D"/>
    <s v="Y"/>
    <s v="Y"/>
    <x v="21"/>
    <s v="QINGDAO, SHANDONG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8.49"/>
    <n v="630.16"/>
    <n v="641.33000000000004"/>
    <n v="622.08000000000004"/>
    <n v="0"/>
    <n v="0"/>
    <n v="488.49"/>
    <n v="630.16"/>
    <n v="641.33000000000004"/>
    <n v="622.08000000000004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MD1"/>
    <s v="AX3"/>
    <m/>
    <m/>
    <s v="S"/>
    <s v="36D0H"/>
    <n v="804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245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35D12H"/>
    <n v="1"/>
    <s v="DR"/>
    <s v="D"/>
    <s v="Y"/>
    <s v="Y"/>
    <x v="21"/>
    <s v="QINGDAO, SHANDONG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2.04"/>
    <n v="479.03"/>
    <n v="490.41"/>
    <n v="468.65"/>
    <n v="0"/>
    <n v="0"/>
    <n v="382.04"/>
    <n v="479.03"/>
    <n v="490.41"/>
    <n v="468.65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AX3"/>
    <s v="AX3"/>
    <m/>
    <m/>
    <s v="S"/>
    <s v="34D0H"/>
    <n v="731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245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MD1)-KRPUS-(AX2)"/>
    <s v="33D8H"/>
    <n v="2"/>
    <s v="DR"/>
    <s v="D"/>
    <s v="Y"/>
    <s v="Y"/>
    <x v="21"/>
    <s v="QINGDAO, SHANDONG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2.29999999999995"/>
    <n v="680.54"/>
    <n v="692.25"/>
    <n v="681.02"/>
    <n v="0"/>
    <n v="0"/>
    <n v="522.29999999999995"/>
    <n v="680.54"/>
    <n v="692.25"/>
    <n v="681.02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MD1"/>
    <s v="AX2"/>
    <m/>
    <m/>
    <s v="S"/>
    <s v="31D20H"/>
    <n v="704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245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"/>
    <s v="45D8H"/>
    <n v="1"/>
    <s v="DR"/>
    <s v="D"/>
    <s v="Y"/>
    <s v="Y"/>
    <x v="21"/>
    <s v="QINGDAO, SHANDONG"/>
    <x v="18"/>
    <s v="QINGDAO, SHAN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9.12"/>
    <n v="705.52"/>
    <n v="715.92"/>
    <n v="719.8"/>
    <n v="0"/>
    <n v="0"/>
    <n v="539.12"/>
    <n v="705.52"/>
    <n v="715.92"/>
    <n v="719.8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9.77"/>
    <n v="674.64"/>
    <n v="674.64"/>
    <n v="0"/>
    <n v="0"/>
    <n v="0"/>
    <m/>
    <m/>
    <m/>
    <m/>
    <m/>
    <m/>
    <m/>
    <m/>
    <m/>
    <m/>
    <m/>
    <m/>
    <s v="AX3"/>
    <s v="AX2"/>
    <m/>
    <m/>
    <s v="S"/>
    <s v="43D20H"/>
    <n v="967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245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16"/>
    <x v="16"/>
    <x v="16"/>
    <x v="0"/>
    <x v="0"/>
    <x v="0"/>
    <m/>
    <m/>
    <m/>
    <m/>
    <m/>
    <m/>
  </r>
  <r>
    <s v="LW"/>
    <s v="LWE"/>
    <s v="LWT"/>
    <s v="LW"/>
    <s v="AX2"/>
    <s v="E"/>
    <s v="(CAE)-HKHKG-(AX2)"/>
    <s v="36D21H"/>
    <n v="1"/>
    <s v="DR"/>
    <s v="D"/>
    <s v="Y"/>
    <s v="Y"/>
    <x v="48"/>
    <s v="RONGQI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8.94000000000005"/>
    <n v="823.89"/>
    <n v="884.55"/>
    <n v="655.21"/>
    <n v="0"/>
    <n v="0"/>
    <n v="618.94000000000005"/>
    <n v="823.89"/>
    <n v="884.55"/>
    <n v="655.21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5D3H"/>
    <n v="779"/>
    <s v="2018-09-29"/>
    <s v="Historical averaged cost."/>
    <n v="96.056539999999998"/>
    <n v="143.83482000000001"/>
    <n v="143.83482000000001"/>
    <n v="143.83482000000001"/>
    <n v="0"/>
    <n v="0"/>
    <n v="50.962420000000002"/>
    <n v="89.184240000000003"/>
    <n v="89.184240000000003"/>
    <n v="98.102670000000003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8D5H"/>
    <n v="2"/>
    <s v="DR"/>
    <s v="D"/>
    <s v="Y"/>
    <s v="Y"/>
    <x v="48"/>
    <s v="RONGQ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9.24"/>
    <n v="881.6"/>
    <n v="942.14"/>
    <n v="542.72"/>
    <n v="0"/>
    <n v="0"/>
    <n v="669.24"/>
    <n v="881.6"/>
    <n v="942.14"/>
    <n v="542.72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6D12H"/>
    <n v="765"/>
    <s v="2018-09-29"/>
    <s v="Historical averaged cost."/>
    <n v="88.532589999999999"/>
    <n v="132.29938999999999"/>
    <n v="132.29938999999999"/>
    <n v="165.43816000000001"/>
    <n v="0"/>
    <n v="0"/>
    <n v="98.739699999999999"/>
    <n v="159.25756999999999"/>
    <n v="159.25756999999999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2D5H"/>
    <n v="1"/>
    <s v="DR"/>
    <s v="D"/>
    <s v="Y"/>
    <s v="Y"/>
    <x v="48"/>
    <s v="RONGQ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7.56"/>
    <n v="966.37"/>
    <n v="1020.07"/>
    <n v="543.45000000000005"/>
    <n v="0"/>
    <n v="0"/>
    <n v="817.56"/>
    <n v="966.37"/>
    <n v="1020.07"/>
    <n v="543.45000000000005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50D12H"/>
    <n v="1101"/>
    <s v="2018-09-29"/>
    <s v="Historical averaged cost."/>
    <n v="88.532589999999999"/>
    <n v="132.29938999999999"/>
    <n v="132.29938999999999"/>
    <n v="165.43816000000001"/>
    <n v="0"/>
    <n v="0"/>
    <n v="98.739699999999999"/>
    <n v="159.25756999999999"/>
    <n v="159.25756999999999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12H"/>
    <n v="1"/>
    <s v="DR"/>
    <s v="D"/>
    <s v="Y"/>
    <s v="Y"/>
    <x v="48"/>
    <s v="RONGQI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5.66"/>
    <n v="678"/>
    <n v="738.99"/>
    <n v="505.24"/>
    <n v="0"/>
    <n v="0"/>
    <n v="525.66"/>
    <n v="678"/>
    <n v="738.99"/>
    <n v="505.24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18H"/>
    <n v="674"/>
    <s v="2018-09-29"/>
    <s v="Historical averaged cost."/>
    <n v="152.66703000000001"/>
    <n v="230.55654000000001"/>
    <n v="230.55654000000001"/>
    <n v="270.17982999999998"/>
    <n v="0"/>
    <n v="0"/>
    <n v="50.962420000000002"/>
    <n v="82.813940000000002"/>
    <n v="82.813940000000002"/>
    <n v="91.09533000000000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2H"/>
    <n v="1"/>
    <s v="DR"/>
    <s v="D"/>
    <s v="Y"/>
    <s v="Y"/>
    <x v="48"/>
    <s v="RONGQI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5.78"/>
    <n v="662.33"/>
    <n v="723.1"/>
    <n v="473.67"/>
    <n v="0"/>
    <n v="0"/>
    <n v="505.78"/>
    <n v="662.33"/>
    <n v="723.1"/>
    <n v="473.67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4D9H"/>
    <n v="706"/>
    <s v="2018-09-29"/>
    <s v="Historical averaged cost."/>
    <n v="110.87472"/>
    <n v="166.13449"/>
    <n v="166.13449"/>
    <n v="183.10584"/>
    <n v="0"/>
    <n v="0"/>
    <n v="70.073329999999999"/>
    <n v="127.40606"/>
    <n v="127.40606"/>
    <n v="140.1466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2D2H"/>
    <n v="1"/>
    <s v="DR"/>
    <s v="D"/>
    <s v="Y"/>
    <s v="Y"/>
    <x v="48"/>
    <s v="RONGQ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8.84"/>
    <n v="910.72"/>
    <n v="969.72"/>
    <n v="587.94000000000005"/>
    <n v="0"/>
    <n v="0"/>
    <n v="688.84"/>
    <n v="910.72"/>
    <n v="969.72"/>
    <n v="587.94000000000005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50D8H"/>
    <n v="1087"/>
    <s v="2018-09-29"/>
    <s v="Historical averaged cost."/>
    <n v="88.532589999999999"/>
    <n v="132.29938999999999"/>
    <n v="132.29938999999999"/>
    <n v="165.43816000000001"/>
    <n v="0"/>
    <n v="0"/>
    <n v="98.739699999999999"/>
    <n v="159.25756999999999"/>
    <n v="159.25756999999999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6D2H"/>
    <n v="1"/>
    <s v="DR"/>
    <s v="D"/>
    <s v="Y"/>
    <s v="Y"/>
    <x v="48"/>
    <s v="RONGQ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1.79"/>
    <n v="901.15"/>
    <n v="960.81"/>
    <n v="608.78"/>
    <n v="0"/>
    <n v="0"/>
    <n v="671.79"/>
    <n v="901.15"/>
    <n v="960.81"/>
    <n v="608.78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4D9H"/>
    <n v="962"/>
    <s v="2018-09-29"/>
    <s v="Historical averaged cost."/>
    <n v="88.532589999999999"/>
    <n v="132.29938999999999"/>
    <n v="132.29938999999999"/>
    <n v="165.43816000000001"/>
    <n v="0"/>
    <n v="0"/>
    <n v="98.739699999999999"/>
    <n v="159.25756999999999"/>
    <n v="159.25756999999999"/>
    <n v="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12H"/>
    <n v="3"/>
    <s v="DR"/>
    <s v="D"/>
    <s v="Y"/>
    <s v="Y"/>
    <x v="48"/>
    <s v="RONGQI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7.64"/>
    <n v="822.7"/>
    <n v="883.69"/>
    <n v="654.55999999999995"/>
    <n v="0"/>
    <n v="0"/>
    <n v="627.64"/>
    <n v="822.7"/>
    <n v="883.69"/>
    <n v="654.55999999999995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18H"/>
    <n v="689"/>
    <s v="2018-09-29"/>
    <s v="Historical averaged cost."/>
    <n v="152.66703000000001"/>
    <n v="230.55654000000001"/>
    <n v="230.55654000000001"/>
    <n v="270.17982999999998"/>
    <n v="0"/>
    <n v="0"/>
    <n v="50.962420000000002"/>
    <n v="82.813940000000002"/>
    <n v="82.813940000000002"/>
    <n v="91.09533000000000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772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SRG)-SGSIN-(AR1)-KRPUS-(AX2)"/>
    <s v="49D14H"/>
    <n v="2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15"/>
    <n v="894.22"/>
    <n v="975.66"/>
    <n v="981.85"/>
    <n v="0"/>
    <n v="0"/>
    <n v="559.15"/>
    <n v="894.22"/>
    <n v="975.66"/>
    <n v="981.85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2"/>
    <m/>
    <m/>
    <s v="S"/>
    <s v="48D2H"/>
    <n v="1096"/>
    <s v="2018-09-29"/>
    <s v="Historical averaged cost."/>
    <n v="80"/>
    <n v="120"/>
    <n v="120"/>
    <n v="150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8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SRG)-SGSIN-(CSW)-KRPUS-(AX2)"/>
    <s v="49D14H"/>
    <n v="1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6.79"/>
    <n v="821.84"/>
    <n v="903.27"/>
    <n v="911.78"/>
    <n v="0"/>
    <n v="0"/>
    <n v="506.79"/>
    <n v="821.84"/>
    <n v="903.27"/>
    <n v="911.78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2"/>
    <m/>
    <m/>
    <s v="S"/>
    <s v="48D2H"/>
    <n v="1096"/>
    <s v="2018-09-29"/>
    <s v="Historical averaged cost."/>
    <n v="80"/>
    <n v="120"/>
    <n v="120"/>
    <n v="150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1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SRG)-SGSIN-(KME)-KRPUS-(AX2)"/>
    <s v="49D14H"/>
    <n v="1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91999999999996"/>
    <n v="897.92"/>
    <n v="979.35"/>
    <n v="993.42"/>
    <n v="0"/>
    <n v="0"/>
    <n v="559.91999999999996"/>
    <n v="897.92"/>
    <n v="979.35"/>
    <n v="993.42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2"/>
    <m/>
    <m/>
    <s v="S"/>
    <s v="48D2H"/>
    <n v="1096"/>
    <s v="2018-09-29"/>
    <s v="Historical averaged cost."/>
    <n v="80"/>
    <n v="120"/>
    <n v="120"/>
    <n v="150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3.34868613999998"/>
    <n v="369.01450014"/>
    <n v="369.01450014"/>
    <n v="379.20062978999999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6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3"/>
    <s v="E"/>
    <s v="(SRG)-SGSIN-(MD2)-KRPUS-(AX3)"/>
    <s v="53D18H"/>
    <n v="2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3.94000000000005"/>
    <n v="841.77"/>
    <n v="922.76"/>
    <n v="919.69"/>
    <n v="0"/>
    <n v="0"/>
    <n v="523.94000000000005"/>
    <n v="841.77"/>
    <n v="922.76"/>
    <n v="919.69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3"/>
    <m/>
    <m/>
    <s v="S"/>
    <s v="52D6H"/>
    <n v="1196"/>
    <s v="2018-09-29"/>
    <s v="Historical averaged cost."/>
    <n v="80"/>
    <n v="120"/>
    <n v="120"/>
    <n v="150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7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SRG)-SGSIN-(NX2)-KRPUS-(AX2)"/>
    <s v="49D14H"/>
    <n v="1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15"/>
    <n v="894.22"/>
    <n v="975.66"/>
    <n v="981.85"/>
    <n v="0"/>
    <n v="0"/>
    <n v="559.15"/>
    <n v="894.22"/>
    <n v="975.66"/>
    <n v="981.85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2"/>
    <m/>
    <m/>
    <s v="S"/>
    <s v="48D2H"/>
    <n v="1096"/>
    <s v="2018-09-29"/>
    <s v="Historical averaged cost."/>
    <n v="80"/>
    <n v="120"/>
    <n v="120"/>
    <n v="150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2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SRG)-SGSIN-(AGX)-KRPUS-(AX2)"/>
    <s v="56D14H"/>
    <n v="1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95000000000005"/>
    <n v="908.78"/>
    <n v="989.45"/>
    <n v="1004.46"/>
    <n v="0"/>
    <n v="0"/>
    <n v="568.95000000000005"/>
    <n v="908.78"/>
    <n v="989.45"/>
    <n v="1004.46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2"/>
    <m/>
    <m/>
    <s v="S"/>
    <s v="55D2H"/>
    <n v="1264"/>
    <s v="2018-09-29"/>
    <s v="Historical averaged cost."/>
    <n v="80"/>
    <n v="120"/>
    <n v="120"/>
    <n v="150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3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SRG)-SGSIN-(MD2)-KRPUS-(AX2)"/>
    <s v="49D14H"/>
    <n v="1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15"/>
    <n v="894.22"/>
    <n v="975.66"/>
    <n v="981.85"/>
    <n v="0"/>
    <n v="0"/>
    <n v="559.15"/>
    <n v="894.22"/>
    <n v="975.66"/>
    <n v="981.85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2"/>
    <m/>
    <m/>
    <s v="S"/>
    <s v="48D2H"/>
    <n v="1096"/>
    <s v="2018-09-29"/>
    <s v="Historical averaged cost."/>
    <n v="80"/>
    <n v="120"/>
    <n v="120"/>
    <n v="150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5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SRG)-SGSIN-(MD3)-KRPUS-(AX2)"/>
    <s v="49D14H"/>
    <n v="1"/>
    <s v="DR"/>
    <s v="D"/>
    <s v="Y"/>
    <s v="Y"/>
    <x v="49"/>
    <s v="SEMARANG"/>
    <x v="31"/>
    <s v="SEMAR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15"/>
    <n v="894.22"/>
    <n v="975.66"/>
    <n v="981.85"/>
    <n v="0"/>
    <n v="0"/>
    <n v="559.15"/>
    <n v="894.22"/>
    <n v="975.66"/>
    <n v="981.85"/>
    <n v="0"/>
    <n v="0"/>
    <s v="IDSRG"/>
    <n v="31.239340518999999"/>
    <n v="231.566292619"/>
    <n v="290.756434748"/>
    <n v="334.95516986799998"/>
    <n v="0"/>
    <n v="0"/>
    <n v="31.239340518999999"/>
    <n v="231.566292619"/>
    <n v="290.756434748"/>
    <n v="334.9551698679999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10.8"/>
    <n v="642.79999999999995"/>
    <n v="642.79999999999995"/>
    <n v="0"/>
    <n v="0"/>
    <n v="0"/>
    <m/>
    <m/>
    <m/>
    <m/>
    <m/>
    <m/>
    <m/>
    <m/>
    <m/>
    <m/>
    <m/>
    <m/>
    <s v="SRG"/>
    <s v="AX2"/>
    <m/>
    <m/>
    <s v="S"/>
    <s v="48D2H"/>
    <n v="1096"/>
    <s v="2018-09-29"/>
    <s v="Historical averaged cost."/>
    <n v="80"/>
    <n v="120"/>
    <n v="120"/>
    <n v="150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500004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2"/>
    <x v="2"/>
    <x v="2"/>
    <x v="7"/>
    <x v="7"/>
    <x v="7"/>
    <x v="0"/>
    <x v="0"/>
    <x v="0"/>
    <m/>
    <m/>
    <m/>
    <m/>
    <m/>
    <m/>
  </r>
  <r>
    <s v="LW"/>
    <s v="LWE"/>
    <s v="LWT"/>
    <s v="LW"/>
    <s v="AX2"/>
    <s v="E"/>
    <s v="(AX2)"/>
    <s v="37D15H"/>
    <n v="1"/>
    <s v="DR"/>
    <s v="D"/>
    <s v="Y"/>
    <s v="Y"/>
    <x v="22"/>
    <s v="SHANGHAI, SHANGHA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5.84"/>
    <n v="500.6"/>
    <n v="474.43"/>
    <n v="473.85"/>
    <n v="0"/>
    <n v="0"/>
    <n v="355.84"/>
    <n v="500.6"/>
    <n v="474.43"/>
    <n v="473.85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0.64"/>
    <n v="719.99"/>
    <n v="719.99"/>
    <n v="0"/>
    <n v="0"/>
    <n v="0"/>
    <m/>
    <m/>
    <m/>
    <m/>
    <m/>
    <m/>
    <m/>
    <m/>
    <m/>
    <m/>
    <m/>
    <m/>
    <s v="AX2"/>
    <s v="AX2"/>
    <m/>
    <m/>
    <s v="S"/>
    <s v="36D3H"/>
    <n v="807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430001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37D15H"/>
    <n v="3"/>
    <s v="DR"/>
    <s v="D"/>
    <s v="Y"/>
    <s v="Y"/>
    <x v="22"/>
    <s v="SHANGHAI, SHANGHA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7.83"/>
    <n v="645.29999999999995"/>
    <n v="619.14"/>
    <n v="623.17999999999995"/>
    <n v="0"/>
    <n v="0"/>
    <n v="457.83"/>
    <n v="645.29999999999995"/>
    <n v="619.14"/>
    <n v="623.17999999999995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0.64"/>
    <n v="719.99"/>
    <n v="719.99"/>
    <n v="0"/>
    <n v="0"/>
    <n v="0"/>
    <m/>
    <m/>
    <m/>
    <m/>
    <m/>
    <m/>
    <m/>
    <m/>
    <m/>
    <m/>
    <m/>
    <m/>
    <s v="AX2"/>
    <s v="AX2"/>
    <m/>
    <m/>
    <s v="T"/>
    <s v="36D3H"/>
    <n v="807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430003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36D19H"/>
    <n v="1"/>
    <s v="DR"/>
    <s v="D"/>
    <s v="Y"/>
    <s v="Y"/>
    <x v="22"/>
    <s v="SHANGHAI, SHANGHA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4.31"/>
    <n v="507.83"/>
    <n v="481.78"/>
    <n v="467.93"/>
    <n v="0"/>
    <n v="0"/>
    <n v="364.31"/>
    <n v="507.83"/>
    <n v="481.78"/>
    <n v="467.93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0.64"/>
    <n v="719.99"/>
    <n v="719.99"/>
    <n v="0"/>
    <n v="0"/>
    <n v="0"/>
    <m/>
    <m/>
    <m/>
    <m/>
    <m/>
    <m/>
    <m/>
    <m/>
    <m/>
    <m/>
    <m/>
    <m/>
    <s v="AX3"/>
    <s v="AX3"/>
    <m/>
    <m/>
    <s v="S"/>
    <s v="35D8H"/>
    <n v="820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430002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4D3H"/>
    <n v="1"/>
    <s v="DR"/>
    <s v="D"/>
    <s v="Y"/>
    <s v="Y"/>
    <x v="23"/>
    <s v="SHANTO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4.88"/>
    <n v="587.29"/>
    <n v="906.77"/>
    <n v="1055.57"/>
    <n v="0"/>
    <n v="0"/>
    <n v="584.88"/>
    <n v="587.29"/>
    <n v="906.77"/>
    <n v="1055.5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2D9H"/>
    <n v="674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2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0D11H"/>
    <n v="1"/>
    <s v="DR"/>
    <s v="D"/>
    <s v="Y"/>
    <s v="Y"/>
    <x v="23"/>
    <s v="SHANTO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6.2"/>
    <n v="795.05"/>
    <n v="1107.47"/>
    <n v="1174.4100000000001"/>
    <n v="0"/>
    <n v="0"/>
    <n v="826.2"/>
    <n v="795.05"/>
    <n v="1107.47"/>
    <n v="1174.410000000000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48D18H"/>
    <n v="1101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0D8H"/>
    <n v="1"/>
    <s v="DR"/>
    <s v="D"/>
    <s v="Y"/>
    <s v="Y"/>
    <x v="23"/>
    <s v="SHANTO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7.49"/>
    <n v="739.4"/>
    <n v="1057.1199999999999"/>
    <n v="1218.9000000000001"/>
    <n v="0"/>
    <n v="0"/>
    <n v="697.49"/>
    <n v="739.4"/>
    <n v="1057.1199999999999"/>
    <n v="1218.900000000000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48D14H"/>
    <n v="1087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4D3H"/>
    <n v="3"/>
    <s v="DR"/>
    <s v="D"/>
    <s v="Y"/>
    <s v="Y"/>
    <x v="23"/>
    <s v="SHANTO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6.87"/>
    <n v="731.99"/>
    <n v="1051.47"/>
    <n v="1204.8900000000001"/>
    <n v="0"/>
    <n v="0"/>
    <n v="686.87"/>
    <n v="731.99"/>
    <n v="1051.47"/>
    <n v="1204.890000000000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2D9H"/>
    <n v="689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2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6D11H"/>
    <n v="2"/>
    <s v="DR"/>
    <s v="D"/>
    <s v="Y"/>
    <s v="Y"/>
    <x v="23"/>
    <s v="SHANTO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7.89"/>
    <n v="710.28"/>
    <n v="1029.54"/>
    <n v="1173.68"/>
    <n v="0"/>
    <n v="0"/>
    <n v="677.89"/>
    <n v="710.28"/>
    <n v="1029.54"/>
    <n v="1173.68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4D18H"/>
    <n v="765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1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8D13H"/>
    <n v="1"/>
    <s v="DR"/>
    <s v="D"/>
    <s v="Y"/>
    <s v="Y"/>
    <x v="23"/>
    <s v="SHANTOU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8.1"/>
    <n v="807.41"/>
    <n v="1126.3399999999999"/>
    <n v="1291"/>
    <n v="0"/>
    <n v="0"/>
    <n v="728.1"/>
    <n v="807.41"/>
    <n v="1126.3399999999999"/>
    <n v="129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6D19H"/>
    <n v="780"/>
    <s v="2018-09-29"/>
    <s v="Historical averaged cost."/>
    <n v="96.056539999999998"/>
    <n v="143.83482000000001"/>
    <n v="143.83482000000001"/>
    <n v="143.83482000000001"/>
    <n v="0"/>
    <n v="0"/>
    <n v="145.24290999999999"/>
    <n v="266.27866999999998"/>
    <n v="266.27866999999998"/>
    <n v="299.53165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5H"/>
    <n v="1"/>
    <s v="DR"/>
    <s v="D"/>
    <s v="Y"/>
    <s v="Y"/>
    <x v="23"/>
    <s v="SHANTOU, GUANGDONG"/>
    <x v="11"/>
    <s v="XIAMEN, FUJI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3.79"/>
    <n v="460.52"/>
    <n v="779.78"/>
    <n v="943.16"/>
    <n v="0"/>
    <n v="0"/>
    <n v="503.79"/>
    <n v="460.52"/>
    <n v="779.78"/>
    <n v="943.16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4D12H"/>
    <n v="751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4D8H"/>
    <n v="1"/>
    <s v="DR"/>
    <s v="D"/>
    <s v="Y"/>
    <s v="Y"/>
    <x v="23"/>
    <s v="SHANTOU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8.38"/>
    <n v="552.16999999999996"/>
    <n v="871.65"/>
    <n v="1001.49"/>
    <n v="0"/>
    <n v="0"/>
    <n v="558.38"/>
    <n v="552.16999999999996"/>
    <n v="871.65"/>
    <n v="1001.4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2D15H"/>
    <n v="706"/>
    <s v="2018-09-29"/>
    <s v="Historical averaged cost."/>
    <n v="110.87472"/>
    <n v="166.13449"/>
    <n v="166.13449"/>
    <n v="183.10584"/>
    <n v="0"/>
    <n v="0"/>
    <n v="113.39139"/>
    <n v="219.13842"/>
    <n v="219.13842"/>
    <n v="246.53073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HKHKG-(AX2)"/>
    <s v="48D8H"/>
    <n v="1"/>
    <s v="DR"/>
    <s v="D"/>
    <s v="Y"/>
    <s v="Y"/>
    <x v="23"/>
    <s v="SHANTO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6.04"/>
    <n v="738.15"/>
    <n v="1056.0899999999999"/>
    <n v="1252.67"/>
    <n v="0"/>
    <n v="0"/>
    <n v="686.04"/>
    <n v="738.15"/>
    <n v="1056.0899999999999"/>
    <n v="1252.6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S"/>
    <s v="46D14H"/>
    <n v="1031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1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4D8H"/>
    <n v="1"/>
    <s v="DR"/>
    <s v="D"/>
    <s v="Y"/>
    <s v="Y"/>
    <x v="23"/>
    <s v="SHANTO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0.44"/>
    <n v="729.83"/>
    <n v="1048.21"/>
    <n v="1239.75"/>
    <n v="0"/>
    <n v="0"/>
    <n v="680.44"/>
    <n v="729.83"/>
    <n v="1048.21"/>
    <n v="1239.75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2D15H"/>
    <n v="962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X1)-HKHKG-(AX2)"/>
    <s v="46D8H"/>
    <n v="1"/>
    <s v="DR"/>
    <s v="D"/>
    <s v="Y"/>
    <s v="Y"/>
    <x v="23"/>
    <s v="SHANTOU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3.24"/>
    <n v="733.99"/>
    <n v="1052.1500000000001"/>
    <n v="1246.21"/>
    <n v="0"/>
    <n v="0"/>
    <n v="683.24"/>
    <n v="733.99"/>
    <n v="1052.1500000000001"/>
    <n v="1246.2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X1"/>
    <s v="AX2"/>
    <s v="F"/>
    <m/>
    <s v="S"/>
    <s v="44D14H"/>
    <n v="999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0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6D23H"/>
    <n v="1"/>
    <s v="DR"/>
    <s v="D"/>
    <s v="Y"/>
    <s v="Y"/>
    <x v="24"/>
    <s v="SHEKOU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4.08"/>
    <n v="1042.6500000000001"/>
    <n v="1048.26"/>
    <n v="1151.6099999999999"/>
    <n v="0"/>
    <n v="0"/>
    <n v="684.08"/>
    <n v="1042.6500000000001"/>
    <n v="1048.26"/>
    <n v="1151.6099999999999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5D5H"/>
    <n v="780"/>
    <s v="2018-09-29"/>
    <s v="Historical averaged cost."/>
    <n v="205.04677000000001"/>
    <n v="306.89479999999998"/>
    <n v="306.89479999999998"/>
    <n v="323.86615"/>
    <n v="0"/>
    <n v="0"/>
    <n v="59.243819999999999"/>
    <n v="98.739699999999999"/>
    <n v="98.739699999999999"/>
    <n v="115.3024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835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2D22H"/>
    <n v="3"/>
    <s v="DR"/>
    <s v="D"/>
    <s v="Y"/>
    <s v="Y"/>
    <x v="24"/>
    <s v="SHEKO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03"/>
    <n v="960.82"/>
    <n v="966.87"/>
    <n v="1059.22"/>
    <n v="0"/>
    <n v="0"/>
    <n v="638.03"/>
    <n v="960.82"/>
    <n v="966.87"/>
    <n v="1059.22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4H"/>
    <n v="689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835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2D22H"/>
    <n v="1"/>
    <s v="DR"/>
    <s v="D"/>
    <s v="Y"/>
    <s v="Y"/>
    <x v="24"/>
    <s v="SHEKOU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6.04"/>
    <n v="816.11"/>
    <n v="822.17"/>
    <n v="909.9"/>
    <n v="0"/>
    <n v="0"/>
    <n v="536.04"/>
    <n v="816.11"/>
    <n v="822.17"/>
    <n v="909.9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4H"/>
    <n v="674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835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2D20H"/>
    <n v="1"/>
    <s v="DR"/>
    <s v="D"/>
    <s v="Y"/>
    <s v="Y"/>
    <x v="24"/>
    <s v="SHEKOU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2.44"/>
    <n v="564.67999999999995"/>
    <n v="570.73"/>
    <n v="612.85"/>
    <n v="0"/>
    <n v="0"/>
    <n v="372.44"/>
    <n v="564.67999999999995"/>
    <n v="570.73"/>
    <n v="612.85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m/>
    <m/>
    <s v="S"/>
    <s v="31D9H"/>
    <n v="706"/>
    <s v="2018-09-29"/>
    <s v="Historical averaged cost."/>
    <n v="103.94222000000001"/>
    <n v="155.98598999999999"/>
    <n v="155.98598999999999"/>
    <n v="172.95733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835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GX)-KRPUS-(AX2)"/>
    <s v="48D20H"/>
    <n v="1"/>
    <s v="DR"/>
    <s v="D"/>
    <s v="Y"/>
    <s v="Y"/>
    <x v="50"/>
    <s v="SINGAPORE"/>
    <x v="32"/>
    <s v="SINGAPORE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5.27"/>
    <n v="665.13"/>
    <n v="611.6"/>
    <n v="502.03"/>
    <n v="0"/>
    <n v="0"/>
    <n v="445.27"/>
    <n v="665.13"/>
    <n v="611.6"/>
    <n v="502.03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71.89"/>
    <n v="828.49"/>
    <n v="828.49"/>
    <n v="0"/>
    <n v="0"/>
    <n v="0"/>
    <m/>
    <m/>
    <m/>
    <m/>
    <m/>
    <m/>
    <m/>
    <m/>
    <m/>
    <m/>
    <m/>
    <m/>
    <s v="AGX"/>
    <s v="AX2"/>
    <m/>
    <m/>
    <s v="S"/>
    <s v="47D8H"/>
    <n v="1085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9710004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2"/>
    <x v="2"/>
    <x v="2"/>
    <x v="19"/>
    <x v="21"/>
    <x v="21"/>
    <x v="0"/>
    <x v="0"/>
    <x v="0"/>
    <m/>
    <m/>
    <m/>
    <m/>
    <m/>
    <m/>
  </r>
  <r>
    <s v="LW"/>
    <s v="LWE"/>
    <s v="LWT"/>
    <s v="LW"/>
    <s v="AX2"/>
    <s v="E"/>
    <s v="(MD2)-KRPUS-(AX2)"/>
    <s v="44D20H"/>
    <n v="1"/>
    <s v="DR"/>
    <s v="D"/>
    <s v="Y"/>
    <s v="Y"/>
    <x v="50"/>
    <s v="SINGAPORE"/>
    <x v="32"/>
    <s v="SINGAPORE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9.67"/>
    <n v="656.81"/>
    <n v="603.72"/>
    <n v="489.11"/>
    <n v="0"/>
    <n v="0"/>
    <n v="439.67"/>
    <n v="656.81"/>
    <n v="603.72"/>
    <n v="489.11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71.89"/>
    <n v="828.49"/>
    <n v="828.49"/>
    <n v="0"/>
    <n v="0"/>
    <n v="0"/>
    <m/>
    <m/>
    <m/>
    <m/>
    <m/>
    <m/>
    <m/>
    <m/>
    <m/>
    <m/>
    <m/>
    <m/>
    <s v="MD2"/>
    <s v="AX2"/>
    <m/>
    <m/>
    <s v="S"/>
    <s v="43D8H"/>
    <n v="984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9710005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2"/>
    <x v="2"/>
    <x v="2"/>
    <x v="19"/>
    <x v="21"/>
    <x v="21"/>
    <x v="0"/>
    <x v="0"/>
    <x v="0"/>
    <m/>
    <m/>
    <m/>
    <m/>
    <m/>
    <m/>
  </r>
  <r>
    <s v="LW"/>
    <s v="LWE"/>
    <s v="LWT"/>
    <s v="LW"/>
    <s v="AX2"/>
    <s v="E"/>
    <s v="(KME)-KRPUS-(AX2)"/>
    <s v="49D20H"/>
    <n v="1"/>
    <s v="DR"/>
    <s v="D"/>
    <s v="Y"/>
    <s v="Y"/>
    <x v="50"/>
    <s v="SINGAPORE"/>
    <x v="32"/>
    <s v="SINGAPORE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7.44"/>
    <n v="670.9"/>
    <n v="617.27"/>
    <n v="516.83000000000004"/>
    <n v="0"/>
    <n v="0"/>
    <n v="447.44"/>
    <n v="670.9"/>
    <n v="617.27"/>
    <n v="516.83000000000004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71.89"/>
    <n v="828.49"/>
    <n v="828.49"/>
    <n v="0"/>
    <n v="0"/>
    <n v="0"/>
    <m/>
    <m/>
    <m/>
    <m/>
    <m/>
    <m/>
    <m/>
    <m/>
    <m/>
    <m/>
    <m/>
    <m/>
    <s v="KME"/>
    <s v="AX2"/>
    <m/>
    <m/>
    <s v="S"/>
    <s v="48D8H"/>
    <n v="1114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5.116691"/>
    <n v="220.78250499999999"/>
    <n v="220.78250499999999"/>
    <n v="230.96863465000001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9710003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2"/>
    <x v="2"/>
    <x v="2"/>
    <x v="19"/>
    <x v="21"/>
    <x v="21"/>
    <x v="0"/>
    <x v="0"/>
    <x v="0"/>
    <m/>
    <m/>
    <m/>
    <m/>
    <m/>
    <m/>
  </r>
  <r>
    <s v="LW"/>
    <s v="LWE"/>
    <s v="LWT"/>
    <s v="LW"/>
    <s v="AX2"/>
    <s v="E"/>
    <s v="(MD3)-KRPUS-(AX2)"/>
    <s v="46D20H"/>
    <n v="1"/>
    <s v="DR"/>
    <s v="D"/>
    <s v="Y"/>
    <s v="Y"/>
    <x v="50"/>
    <s v="SINGAPORE"/>
    <x v="32"/>
    <s v="SINGAPORE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2.47"/>
    <n v="660.97"/>
    <n v="607.66"/>
    <n v="495.57"/>
    <n v="0"/>
    <n v="0"/>
    <n v="442.47"/>
    <n v="660.97"/>
    <n v="607.66"/>
    <n v="495.57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71.89"/>
    <n v="828.49"/>
    <n v="828.49"/>
    <n v="0"/>
    <n v="0"/>
    <n v="0"/>
    <m/>
    <m/>
    <m/>
    <m/>
    <m/>
    <m/>
    <m/>
    <m/>
    <m/>
    <m/>
    <m/>
    <m/>
    <s v="MD3"/>
    <s v="AX2"/>
    <m/>
    <m/>
    <s v="S"/>
    <s v="45D8H"/>
    <n v="1045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9710006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2"/>
    <x v="2"/>
    <x v="2"/>
    <x v="19"/>
    <x v="21"/>
    <x v="21"/>
    <x v="0"/>
    <x v="0"/>
    <x v="0"/>
    <m/>
    <m/>
    <m/>
    <m/>
    <m/>
    <m/>
  </r>
  <r>
    <s v="LW"/>
    <s v="LWE"/>
    <s v="LWT"/>
    <s v="LW"/>
    <s v="AX2"/>
    <s v="E"/>
    <s v="(CSW)-KRPUS-(AX2)"/>
    <s v="35D20H"/>
    <n v="1"/>
    <s v="DR"/>
    <s v="D"/>
    <s v="Y"/>
    <s v="Y"/>
    <x v="50"/>
    <s v="SINGAPORE"/>
    <x v="32"/>
    <s v="SINGAPORE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4.71"/>
    <n v="565.70000000000005"/>
    <n v="513.61"/>
    <n v="389.97"/>
    <n v="0"/>
    <n v="0"/>
    <n v="374.71"/>
    <n v="565.70000000000005"/>
    <n v="513.61"/>
    <n v="389.97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71.89"/>
    <n v="828.49"/>
    <n v="828.49"/>
    <n v="0"/>
    <n v="0"/>
    <n v="0"/>
    <m/>
    <m/>
    <m/>
    <m/>
    <m/>
    <m/>
    <m/>
    <m/>
    <m/>
    <m/>
    <m/>
    <m/>
    <s v="CSW"/>
    <s v="AX2"/>
    <m/>
    <m/>
    <s v="S"/>
    <s v="34D8H"/>
    <n v="784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9710001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2"/>
    <x v="2"/>
    <x v="2"/>
    <x v="19"/>
    <x v="21"/>
    <x v="21"/>
    <x v="0"/>
    <x v="0"/>
    <x v="0"/>
    <m/>
    <m/>
    <m/>
    <m/>
    <m/>
    <m/>
  </r>
  <r>
    <s v="LW"/>
    <s v="LWE"/>
    <s v="LWT"/>
    <s v="LW"/>
    <s v="AX2"/>
    <s v="E"/>
    <s v="(NX2)-KRPUS-(AX2)"/>
    <s v="44D20H"/>
    <n v="1"/>
    <s v="DR"/>
    <s v="D"/>
    <s v="Y"/>
    <s v="Y"/>
    <x v="50"/>
    <s v="SINGAPORE"/>
    <x v="32"/>
    <s v="SINGAPORE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9.67"/>
    <n v="656.81"/>
    <n v="603.72"/>
    <n v="489.11"/>
    <n v="0"/>
    <n v="0"/>
    <n v="439.67"/>
    <n v="656.81"/>
    <n v="603.72"/>
    <n v="489.11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71.89"/>
    <n v="828.49"/>
    <n v="828.49"/>
    <n v="0"/>
    <n v="0"/>
    <n v="0"/>
    <m/>
    <m/>
    <m/>
    <m/>
    <m/>
    <m/>
    <m/>
    <m/>
    <m/>
    <m/>
    <m/>
    <m/>
    <s v="NX2"/>
    <s v="AX2"/>
    <m/>
    <m/>
    <s v="S"/>
    <s v="43D8H"/>
    <n v="1004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9710002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2"/>
    <x v="2"/>
    <x v="2"/>
    <x v="19"/>
    <x v="21"/>
    <x v="21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51"/>
    <s v="TAICANG, JIANGSU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0.22"/>
    <n v="636.49"/>
    <n v="658.75"/>
    <n v="341.73"/>
    <n v="0"/>
    <n v="0"/>
    <n v="490.22"/>
    <n v="636.49"/>
    <n v="658.75"/>
    <n v="341.73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1D7H"/>
    <n v="850"/>
    <s v="2018-09-29"/>
    <s v="Historical averaged cost."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576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4D21H"/>
    <n v="3"/>
    <s v="DR"/>
    <s v="D"/>
    <s v="Y"/>
    <s v="Y"/>
    <x v="51"/>
    <s v="TAIC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4.61"/>
    <n v="960.24"/>
    <n v="982.28"/>
    <n v="718.49"/>
    <n v="0"/>
    <n v="0"/>
    <n v="694.61"/>
    <n v="960.24"/>
    <n v="982.28"/>
    <n v="718.49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3D3H"/>
    <n v="807"/>
    <s v="2018-09-29"/>
    <s v="Historical averaged cost."/>
    <n v="99.140680000000003"/>
    <n v="148.71053000000001"/>
    <n v="148.71053000000001"/>
    <n v="179.43451999999999"/>
    <n v="0"/>
    <n v="0"/>
    <n v="120"/>
    <n v="200"/>
    <n v="200"/>
    <n v="25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576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4D21H"/>
    <n v="1"/>
    <s v="DR"/>
    <s v="D"/>
    <s v="Y"/>
    <s v="Y"/>
    <x v="51"/>
    <s v="TAIC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62"/>
    <n v="815.54"/>
    <n v="837.58"/>
    <n v="569.16"/>
    <n v="0"/>
    <n v="0"/>
    <n v="592.62"/>
    <n v="815.54"/>
    <n v="837.58"/>
    <n v="569.16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3D3H"/>
    <n v="807"/>
    <s v="2018-09-29"/>
    <s v="Historical averaged cost."/>
    <n v="99.140680000000003"/>
    <n v="148.71053000000001"/>
    <n v="148.71053000000001"/>
    <n v="179.43451999999999"/>
    <n v="0"/>
    <n v="0"/>
    <n v="120"/>
    <n v="200"/>
    <n v="200"/>
    <n v="25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576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2D9H"/>
    <n v="1"/>
    <s v="DR"/>
    <s v="D"/>
    <s v="Y"/>
    <s v="Y"/>
    <x v="51"/>
    <s v="TAICANG, JIANGSU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4.96"/>
    <n v="604.29999999999995"/>
    <n v="627.77"/>
    <n v="308.89"/>
    <n v="0"/>
    <n v="0"/>
    <n v="464.96"/>
    <n v="604.29999999999995"/>
    <n v="627.77"/>
    <n v="308.89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30D15H"/>
    <n v="608"/>
    <s v="2018-09-29"/>
    <s v="Historical averaged cost."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"/>
    <n v="66.56"/>
    <n v="63.04"/>
    <n v="103.3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576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4D1H"/>
    <n v="1"/>
    <s v="DR"/>
    <s v="D"/>
    <s v="Y"/>
    <s v="Y"/>
    <x v="51"/>
    <s v="TAIC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1.09"/>
    <n v="822.77"/>
    <n v="844.92"/>
    <n v="563.24"/>
    <n v="0"/>
    <n v="0"/>
    <n v="601.09"/>
    <n v="822.77"/>
    <n v="844.92"/>
    <n v="563.24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2D8H"/>
    <n v="820"/>
    <s v="2018-09-29"/>
    <s v="Historical averaged cost."/>
    <n v="99.140680000000003"/>
    <n v="148.71053000000001"/>
    <n v="148.71053000000001"/>
    <n v="179.43451999999999"/>
    <n v="0"/>
    <n v="0"/>
    <n v="120"/>
    <n v="200"/>
    <n v="200"/>
    <n v="25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576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MD3)-KRPUS-(AX2)"/>
    <s v="50D3H"/>
    <n v="1"/>
    <s v="DR"/>
    <s v="D"/>
    <s v="Y"/>
    <s v="Y"/>
    <x v="25"/>
    <s v="TAICHUNG CITY"/>
    <x v="26"/>
    <s v="KAOHSIUNG CITY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55"/>
    <n v="838.26"/>
    <n v="829.57"/>
    <n v="783.73"/>
    <n v="0"/>
    <n v="0"/>
    <n v="678.55"/>
    <n v="838.26"/>
    <n v="829.57"/>
    <n v="783.73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MD3"/>
    <s v="AX2"/>
    <s v="T"/>
    <m/>
    <s v="S"/>
    <s v="48D9H"/>
    <n v="885"/>
    <s v="2018-09-29"/>
    <s v="Historical averaged cost."/>
    <n v="89.310370000000006"/>
    <n v="97.769739999999999"/>
    <n v="97.769739999999999"/>
    <n v="97.769739999999999"/>
    <n v="0"/>
    <n v="0"/>
    <n v="136.94292999999999"/>
    <n v="136.94292999999999"/>
    <n v="136.94292999999999"/>
    <n v="136.94292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86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AX1)-KRPUS-(AX2)"/>
    <s v="51D3H"/>
    <n v="1"/>
    <s v="DR"/>
    <s v="D"/>
    <s v="Y"/>
    <s v="Y"/>
    <x v="25"/>
    <s v="TAICHUNG CITY"/>
    <x v="14"/>
    <s v="KEELU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3.34"/>
    <n v="888.98"/>
    <n v="880.18"/>
    <n v="835.61"/>
    <n v="0"/>
    <n v="0"/>
    <n v="703.34"/>
    <n v="888.98"/>
    <n v="880.18"/>
    <n v="835.61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AX1"/>
    <s v="AX2"/>
    <s v="T"/>
    <m/>
    <s v="S"/>
    <s v="49D9H"/>
    <n v="1030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86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MD3)-KRPUS-(AX2)"/>
    <s v="50D5H"/>
    <n v="1"/>
    <s v="DR"/>
    <s v="D"/>
    <s v="Y"/>
    <s v="Y"/>
    <x v="26"/>
    <s v="TAOYUAN"/>
    <x v="26"/>
    <s v="KAOHSIUNG CITY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9.62"/>
    <n v="932.09"/>
    <n v="907.2"/>
    <n v="874.77"/>
    <n v="0"/>
    <n v="0"/>
    <n v="749.62"/>
    <n v="932.09"/>
    <n v="907.2"/>
    <n v="874.77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MD3"/>
    <s v="AX2"/>
    <s v="T"/>
    <m/>
    <s v="S"/>
    <s v="48D11H"/>
    <n v="885"/>
    <s v="2018-09-29"/>
    <s v="Historical averaged cost."/>
    <n v="88.590369999999993"/>
    <n v="97.04974"/>
    <n v="97.04974"/>
    <n v="97.04974"/>
    <n v="0"/>
    <n v="0"/>
    <n v="197.26302999999999"/>
    <n v="197.26302999999999"/>
    <n v="197.26302999999999"/>
    <n v="197.26302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1136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AX1)-KRPUS-(AX2)"/>
    <s v="51D21H"/>
    <n v="1"/>
    <s v="DR"/>
    <s v="D"/>
    <s v="Y"/>
    <s v="Y"/>
    <x v="26"/>
    <s v="TAOYUAN"/>
    <x v="14"/>
    <s v="KEELU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4.19000000000005"/>
    <n v="863.27"/>
    <n v="838.16"/>
    <n v="808.25"/>
    <n v="0"/>
    <n v="0"/>
    <n v="654.19000000000005"/>
    <n v="863.27"/>
    <n v="838.16"/>
    <n v="808.25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535.45000000000005"/>
    <n v="763.1"/>
    <n v="791.63"/>
    <n v="0"/>
    <n v="0"/>
    <n v="0"/>
    <m/>
    <m/>
    <m/>
    <m/>
    <m/>
    <m/>
    <m/>
    <m/>
    <m/>
    <m/>
    <m/>
    <m/>
    <s v="AX1"/>
    <s v="AX2"/>
    <s v="T"/>
    <m/>
    <s v="S"/>
    <s v="50D3H"/>
    <n v="1030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1136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2"/>
    <x v="2"/>
    <x v="2"/>
    <x v="8"/>
    <x v="8"/>
    <x v="8"/>
    <x v="0"/>
    <x v="0"/>
    <x v="0"/>
    <m/>
    <m/>
    <m/>
    <m/>
    <m/>
    <m/>
  </r>
  <r>
    <s v="LW"/>
    <s v="LWE"/>
    <s v="LWT"/>
    <s v="LW"/>
    <s v="AX2"/>
    <s v="E"/>
    <s v="(FDR)-LKCMB-(NCI)-SGSIN-(NX2)-KRPUS-(AX2)"/>
    <s v="50D18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3.76"/>
    <n v="890.82"/>
    <n v="1184.55"/>
    <n v="4902.3100000000004"/>
    <n v="0"/>
    <n v="0"/>
    <n v="673.76"/>
    <n v="890.82"/>
    <n v="1184.55"/>
    <n v="4902.31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2"/>
    <m/>
    <m/>
    <s v="T"/>
    <s v="49D6H"/>
    <n v="117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87.40846613999997"/>
    <n v="493.46048444000002"/>
    <n v="493.46048444000002"/>
    <n v="521.77248243999998"/>
    <n v="0"/>
    <n v="0"/>
    <n v="48.22"/>
    <n v="100"/>
    <n v="96.22"/>
    <n v="155.31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NX2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2.47"/>
    <n v="815.16"/>
    <n v="1111.79"/>
    <n v="4780.54"/>
    <n v="0"/>
    <n v="0"/>
    <n v="642.47"/>
    <n v="815.16"/>
    <n v="1111.79"/>
    <n v="4780.5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CSW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9.57000000000005"/>
    <n v="741.89"/>
    <n v="1045.01"/>
    <n v="4627.43"/>
    <n v="0"/>
    <n v="0"/>
    <n v="589.57000000000005"/>
    <n v="741.89"/>
    <n v="1045.01"/>
    <n v="4627.4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KME)-KRPUS-(AX3)"/>
    <s v="70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82000000000005"/>
    <n v="749.03"/>
    <n v="1052.1500000000001"/>
    <n v="4640.13"/>
    <n v="0"/>
    <n v="0"/>
    <n v="592.82000000000005"/>
    <n v="749.03"/>
    <n v="1052.1500000000001"/>
    <n v="4640.1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9D0H"/>
    <n v="15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416.22037913999998"/>
    <n v="548.44339344000002"/>
    <n v="548.44339344000002"/>
    <n v="582.31752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MD1)-KRPUS-(AX3)"/>
    <s v="70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89"/>
    <n v="671.8"/>
    <n v="974.92"/>
    <n v="4555.03"/>
    <n v="0"/>
    <n v="0"/>
    <n v="538.89"/>
    <n v="671.8"/>
    <n v="974.92"/>
    <n v="4555.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9D0H"/>
    <n v="15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MD2)-KRPUS-(AX3)"/>
    <s v="70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89"/>
    <n v="671.8"/>
    <n v="974.92"/>
    <n v="4555.03"/>
    <n v="0"/>
    <n v="0"/>
    <n v="538.89"/>
    <n v="671.8"/>
    <n v="974.92"/>
    <n v="4555.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9D0H"/>
    <n v="15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MD3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89"/>
    <n v="671.8"/>
    <n v="974.92"/>
    <n v="4555.03"/>
    <n v="0"/>
    <n v="0"/>
    <n v="538.89"/>
    <n v="671.8"/>
    <n v="974.92"/>
    <n v="4555.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NX2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89"/>
    <n v="671.8"/>
    <n v="974.92"/>
    <n v="4555.03"/>
    <n v="0"/>
    <n v="0"/>
    <n v="538.89"/>
    <n v="671.8"/>
    <n v="974.92"/>
    <n v="4555.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4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MX)-CNSHA-(AX3)"/>
    <s v="77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1.69"/>
    <n v="570.36"/>
    <n v="874.17"/>
    <n v="4393.29"/>
    <n v="0"/>
    <n v="0"/>
    <n v="421.69"/>
    <n v="570.36"/>
    <n v="874.17"/>
    <n v="4393.29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76D0H"/>
    <n v="169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45.08560144"/>
    <n v="369.77540213999998"/>
    <n v="370.46540213999998"/>
    <n v="335.481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ACE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2.09"/>
    <n v="749.93"/>
    <n v="1053.05"/>
    <n v="4638.92"/>
    <n v="0"/>
    <n v="0"/>
    <n v="612.09"/>
    <n v="749.93"/>
    <n v="1053.05"/>
    <n v="4638.92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435.49004814"/>
    <n v="549.34417039000004"/>
    <n v="549.34417039000004"/>
    <n v="581.110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AGX)-KRPUS-(AX3)"/>
    <s v="77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5999999999995"/>
    <n v="631.66"/>
    <n v="934.78"/>
    <n v="4514.88"/>
    <n v="0"/>
    <n v="0"/>
    <n v="519.05999999999995"/>
    <n v="631.66"/>
    <n v="934.78"/>
    <n v="4514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76D0H"/>
    <n v="169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CSW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9.74"/>
    <n v="701.75"/>
    <n v="1004.87"/>
    <n v="4587.28"/>
    <n v="0"/>
    <n v="0"/>
    <n v="569.74"/>
    <n v="701.75"/>
    <n v="1004.87"/>
    <n v="4587.2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KME)-KRPUS-(AX3)"/>
    <s v="70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2.99"/>
    <n v="708.89"/>
    <n v="1012.01"/>
    <n v="4599.99"/>
    <n v="0"/>
    <n v="0"/>
    <n v="572.99"/>
    <n v="708.89"/>
    <n v="1012.01"/>
    <n v="4599.99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9D0H"/>
    <n v="15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96.38837913999998"/>
    <n v="508.30139344000003"/>
    <n v="508.30139344000003"/>
    <n v="542.17552508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MD1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5999999999995"/>
    <n v="631.66"/>
    <n v="934.78"/>
    <n v="4514.88"/>
    <n v="0"/>
    <n v="0"/>
    <n v="519.05999999999995"/>
    <n v="631.66"/>
    <n v="934.78"/>
    <n v="4514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MD2)-KRPUS-(AX3)"/>
    <s v="70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5999999999995"/>
    <n v="631.66"/>
    <n v="934.78"/>
    <n v="4514.88"/>
    <n v="0"/>
    <n v="0"/>
    <n v="519.05999999999995"/>
    <n v="631.66"/>
    <n v="934.78"/>
    <n v="4514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9D0H"/>
    <n v="15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MD3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5999999999995"/>
    <n v="631.66"/>
    <n v="934.78"/>
    <n v="4514.88"/>
    <n v="0"/>
    <n v="0"/>
    <n v="519.05999999999995"/>
    <n v="631.66"/>
    <n v="934.78"/>
    <n v="4514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NX2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5999999999995"/>
    <n v="631.66"/>
    <n v="934.78"/>
    <n v="4514.88"/>
    <n v="0"/>
    <n v="0"/>
    <n v="519.05999999999995"/>
    <n v="631.66"/>
    <n v="934.78"/>
    <n v="4514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AGX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5999999999995"/>
    <n v="631.66"/>
    <n v="934.78"/>
    <n v="4514.88"/>
    <n v="0"/>
    <n v="0"/>
    <n v="519.05999999999995"/>
    <n v="631.66"/>
    <n v="934.78"/>
    <n v="4514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MD2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5999999999995"/>
    <n v="631.66"/>
    <n v="934.78"/>
    <n v="4514.88"/>
    <n v="0"/>
    <n v="0"/>
    <n v="519.05999999999995"/>
    <n v="631.66"/>
    <n v="934.78"/>
    <n v="4514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CSW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9.95000000000005"/>
    <n v="782.91"/>
    <n v="1079.55"/>
    <n v="4750.6099999999997"/>
    <n v="0"/>
    <n v="0"/>
    <n v="609.95000000000005"/>
    <n v="782.91"/>
    <n v="1079.55"/>
    <n v="4750.6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60.61232314"/>
    <n v="468.91799114000003"/>
    <n v="468.91799114000003"/>
    <n v="499.54198714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AGX)-KRPUS-(AX2)"/>
    <s v="73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9.70000000000005"/>
    <n v="732.58"/>
    <n v="1035.7"/>
    <n v="4630.1099999999997"/>
    <n v="0"/>
    <n v="0"/>
    <n v="579.70000000000005"/>
    <n v="732.58"/>
    <n v="1035.7"/>
    <n v="4630.1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71D20H"/>
    <n v="159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ACE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2.18"/>
    <n v="900.04"/>
    <n v="1196.67"/>
    <n v="4871.1899999999996"/>
    <n v="0"/>
    <n v="0"/>
    <n v="702.18"/>
    <n v="900.04"/>
    <n v="1196.67"/>
    <n v="4871.18999999999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52.84335514000003"/>
    <n v="586.04127708999999"/>
    <n v="586.04127708999999"/>
    <n v="620.11993164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FE5)-SGSIN-(MD2)-KRPUS-(AX2)"/>
    <s v="59D8H"/>
    <n v="1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6.45"/>
    <n v="861.55"/>
    <n v="1158.18"/>
    <n v="4826.9399999999996"/>
    <n v="0"/>
    <n v="0"/>
    <n v="666.45"/>
    <n v="861.55"/>
    <n v="1158.18"/>
    <n v="4826.93999999999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NX2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2.3"/>
    <n v="855.3"/>
    <n v="1151.93"/>
    <n v="4820.68"/>
    <n v="0"/>
    <n v="0"/>
    <n v="662.3"/>
    <n v="855.3"/>
    <n v="1151.93"/>
    <n v="4820.6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MX)-CNNGB-(AX2)"/>
    <s v="66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5.19"/>
    <n v="439.39"/>
    <n v="742.52"/>
    <n v="4362.05"/>
    <n v="0"/>
    <n v="0"/>
    <n v="325.19"/>
    <n v="439.39"/>
    <n v="742.52"/>
    <n v="4362.05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64D20H"/>
    <n v="14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8.45922462999999"/>
    <n v="248.11983694"/>
    <n v="248.11983694"/>
    <n v="301.55197007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MX)-CNSHA-(AX2)"/>
    <s v="73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1.82"/>
    <n v="561.04999999999995"/>
    <n v="864.86"/>
    <n v="4395.9799999999996"/>
    <n v="0"/>
    <n v="0"/>
    <n v="411.82"/>
    <n v="561.04999999999995"/>
    <n v="864.86"/>
    <n v="4395.97999999999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71D20H"/>
    <n v="159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45.08560144"/>
    <n v="369.77540213999998"/>
    <n v="370.46540213999998"/>
    <n v="335.481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ACE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2.35"/>
    <n v="859.89"/>
    <n v="1156.53"/>
    <n v="4831.05"/>
    <n v="0"/>
    <n v="0"/>
    <n v="682.35"/>
    <n v="859.89"/>
    <n v="1156.53"/>
    <n v="4831.05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33.01135513999998"/>
    <n v="545.89927709000006"/>
    <n v="545.89927709000006"/>
    <n v="579.97793163999995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AGX)-KRPUS-(AX2)"/>
    <s v="73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87"/>
    <n v="692.44"/>
    <n v="995.56"/>
    <n v="4589.97"/>
    <n v="0"/>
    <n v="0"/>
    <n v="559.87"/>
    <n v="692.44"/>
    <n v="995.56"/>
    <n v="4589.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71D20H"/>
    <n v="159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CSW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0.12"/>
    <n v="742.77"/>
    <n v="1039.4000000000001"/>
    <n v="4710.47"/>
    <n v="0"/>
    <n v="0"/>
    <n v="590.12"/>
    <n v="742.77"/>
    <n v="1039.4000000000001"/>
    <n v="4710.4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40.78032314000001"/>
    <n v="428.77599113999997"/>
    <n v="428.77599113999997"/>
    <n v="459.39998714000001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KME)-KRPUS-(AX2)"/>
    <s v="66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0.64"/>
    <n v="696.13"/>
    <n v="999.25"/>
    <n v="4601.54"/>
    <n v="0"/>
    <n v="0"/>
    <n v="560.64"/>
    <n v="696.13"/>
    <n v="999.25"/>
    <n v="4601.5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64D20H"/>
    <n v="14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90968614000002"/>
    <n v="504.85650013999998"/>
    <n v="504.85650013999998"/>
    <n v="541.04262978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MD1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2.47"/>
    <n v="815.16"/>
    <n v="1111.79"/>
    <n v="4780.54"/>
    <n v="0"/>
    <n v="0"/>
    <n v="642.47"/>
    <n v="815.16"/>
    <n v="1111.79"/>
    <n v="4780.5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MD2)-KRPUS-(AX2)"/>
    <s v="66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87"/>
    <n v="692.44"/>
    <n v="995.56"/>
    <n v="4589.97"/>
    <n v="0"/>
    <n v="0"/>
    <n v="559.87"/>
    <n v="692.44"/>
    <n v="995.56"/>
    <n v="4589.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64D20H"/>
    <n v="14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MD3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2.47"/>
    <n v="815.16"/>
    <n v="1111.79"/>
    <n v="4780.54"/>
    <n v="0"/>
    <n v="0"/>
    <n v="642.47"/>
    <n v="815.16"/>
    <n v="1111.79"/>
    <n v="4780.5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FDR)-LKCMB-(PS3)-SGSIN-(NX2)-KRPUS-(AX3)"/>
    <s v="54D22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28"/>
    <n v="846.06"/>
    <n v="1139.3499999999999"/>
    <n v="4847.84"/>
    <n v="0"/>
    <n v="0"/>
    <n v="644.28"/>
    <n v="846.06"/>
    <n v="1139.3499999999999"/>
    <n v="4847.8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3"/>
    <m/>
    <m/>
    <s v="T"/>
    <s v="53D10H"/>
    <n v="127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MD1)-KRPUS-(AX2)"/>
    <s v="66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9.70000000000005"/>
    <n v="732.58"/>
    <n v="1035.7"/>
    <n v="4630.1099999999997"/>
    <n v="0"/>
    <n v="0"/>
    <n v="579.70000000000005"/>
    <n v="732.58"/>
    <n v="1035.7"/>
    <n v="4630.1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64D20H"/>
    <n v="14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MD2)-KRPUS-(AX2)"/>
    <s v="66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9.70000000000005"/>
    <n v="732.58"/>
    <n v="1035.7"/>
    <n v="4630.1099999999997"/>
    <n v="0"/>
    <n v="0"/>
    <n v="579.70000000000005"/>
    <n v="732.58"/>
    <n v="1035.7"/>
    <n v="4630.1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64D20H"/>
    <n v="14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2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MD3)-KRPUS-(AX2)"/>
    <s v="59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2.3"/>
    <n v="855.3"/>
    <n v="1151.93"/>
    <n v="4820.68"/>
    <n v="0"/>
    <n v="0"/>
    <n v="662.3"/>
    <n v="855.3"/>
    <n v="1151.93"/>
    <n v="4820.6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KME)-KRPUS-(AX2)"/>
    <s v="66D8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0.48"/>
    <n v="736.27"/>
    <n v="1039.4000000000001"/>
    <n v="4641.68"/>
    <n v="0"/>
    <n v="0"/>
    <n v="580.48"/>
    <n v="736.27"/>
    <n v="1039.4000000000001"/>
    <n v="4641.6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64D20H"/>
    <n v="142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413.74168614000001"/>
    <n v="544.99850014000003"/>
    <n v="544.99850014000003"/>
    <n v="581.18462979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FDR)-LKCMB-(NCI)-SGSIN-(AGX)-KRPUS-(AX2)"/>
    <s v="64D18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2.36"/>
    <n v="784.74"/>
    <n v="1084.08"/>
    <n v="4737.58"/>
    <n v="0"/>
    <n v="0"/>
    <n v="602.36"/>
    <n v="784.74"/>
    <n v="1084.08"/>
    <n v="4737.5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2"/>
    <m/>
    <m/>
    <s v="T"/>
    <s v="63D6H"/>
    <n v="15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87.40846613999997"/>
    <n v="493.46048444000002"/>
    <n v="493.46048444000002"/>
    <n v="521.77248243999998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FDR)-LKCMB-(PMX)-CNSHA-(AX2)"/>
    <s v="64D18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7.73"/>
    <n v="638.17999999999995"/>
    <n v="938.22"/>
    <n v="4528.43"/>
    <n v="0"/>
    <n v="0"/>
    <n v="447.73"/>
    <n v="638.17999999999995"/>
    <n v="938.22"/>
    <n v="4528.4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2"/>
    <m/>
    <m/>
    <s v="T"/>
    <s v="63D6H"/>
    <n v="15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32.77342418999999"/>
    <n v="346.90904763999998"/>
    <n v="347.59904763999998"/>
    <n v="312.61561286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FDR)-LKCMB-(PS3)-SGSIN-(AGX)-KRPUS-(AX2)"/>
    <s v="64D18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8.09"/>
    <n v="792.44"/>
    <n v="1091.78"/>
    <n v="4745.28"/>
    <n v="0"/>
    <n v="0"/>
    <n v="608.09"/>
    <n v="792.44"/>
    <n v="1091.78"/>
    <n v="4745.2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2"/>
    <m/>
    <m/>
    <s v="T"/>
    <s v="63D6H"/>
    <n v="15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FDR)-LKCMB-(PS3)-SGSIN-(NX2)-KRPUS-(AX2)"/>
    <s v="50D18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9.49"/>
    <n v="898.52"/>
    <n v="1192.25"/>
    <n v="4910.01"/>
    <n v="0"/>
    <n v="0"/>
    <n v="679.49"/>
    <n v="898.52"/>
    <n v="1192.25"/>
    <n v="4910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2"/>
    <m/>
    <m/>
    <s v="T"/>
    <s v="49D6H"/>
    <n v="117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48.22"/>
    <n v="100"/>
    <n v="96.22"/>
    <n v="155.31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FDR)-LKCMB-(NCI)-SGSIN-(AGX)-KRPUS-(AX3)"/>
    <s v="68D22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1.54999999999995"/>
    <n v="723.96"/>
    <n v="1023.3"/>
    <n v="4662.49"/>
    <n v="0"/>
    <n v="0"/>
    <n v="561.54999999999995"/>
    <n v="723.96"/>
    <n v="1023.3"/>
    <n v="4662.49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3"/>
    <m/>
    <m/>
    <s v="T"/>
    <s v="67D10H"/>
    <n v="16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36.72970914000001"/>
    <n v="423.37377773999998"/>
    <n v="423.37377773999998"/>
    <n v="449.37377773999998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FDR)-LKCMB-(NCI)-SGSIN-(NX2)-KRPUS-(AX3)"/>
    <s v="54D22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54999999999995"/>
    <n v="838.36"/>
    <n v="1131.6500000000001"/>
    <n v="4840.1400000000003"/>
    <n v="0"/>
    <n v="0"/>
    <n v="638.54999999999995"/>
    <n v="838.36"/>
    <n v="1131.6500000000001"/>
    <n v="4840.14000000000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3"/>
    <m/>
    <m/>
    <s v="T"/>
    <s v="53D10H"/>
    <n v="127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36.72970914000001"/>
    <n v="423.37377773999998"/>
    <n v="423.37377773999998"/>
    <n v="449.37377773999998"/>
    <n v="0"/>
    <n v="0"/>
    <n v="48.22"/>
    <n v="100"/>
    <n v="96.22"/>
    <n v="155.31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5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FDR)-LKCMB-(PMX)-CNSHA-(AX3)"/>
    <s v="68D22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7.59"/>
    <n v="647.5"/>
    <n v="947.53"/>
    <n v="4525.74"/>
    <n v="0"/>
    <n v="0"/>
    <n v="457.59"/>
    <n v="647.5"/>
    <n v="947.53"/>
    <n v="4525.7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3"/>
    <m/>
    <m/>
    <s v="T"/>
    <s v="67D10H"/>
    <n v="16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232.77342418999999"/>
    <n v="346.90904763999998"/>
    <n v="347.59904763999998"/>
    <n v="312.61561286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FDR)-LKCMB-(PS3)-SGSIN-(ACE)-KRPUS-(AX3)"/>
    <s v="54D22H"/>
    <n v="3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7.31"/>
    <n v="964.33"/>
    <n v="1257.6199999999999"/>
    <n v="4971.88"/>
    <n v="0"/>
    <n v="0"/>
    <n v="737.31"/>
    <n v="964.33"/>
    <n v="1257.6199999999999"/>
    <n v="4971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FDR"/>
    <s v="AX3"/>
    <m/>
    <m/>
    <s v="T"/>
    <s v="53D10H"/>
    <n v="127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435.49004814"/>
    <n v="549.34417039000004"/>
    <n v="549.34417039000004"/>
    <n v="581.11082694000004"/>
    <n v="0"/>
    <n v="0"/>
    <n v="48.22"/>
    <n v="100"/>
    <n v="96.22"/>
    <n v="155.31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4107004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MD2)-KRPUS-(AX2)"/>
    <s v="59D8H"/>
    <n v="1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2.47"/>
    <n v="815.16"/>
    <n v="1111.79"/>
    <n v="4780.54"/>
    <n v="0"/>
    <n v="0"/>
    <n v="642.47"/>
    <n v="815.16"/>
    <n v="1111.79"/>
    <n v="4780.5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2"/>
    <m/>
    <m/>
    <s v="S"/>
    <s v="57D20H"/>
    <n v="12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ACE)-KRPUS-(AX3)"/>
    <s v="63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1.91999999999996"/>
    <n v="790.07"/>
    <n v="1093.19"/>
    <n v="4679.0600000000004"/>
    <n v="0"/>
    <n v="0"/>
    <n v="631.91999999999996"/>
    <n v="790.07"/>
    <n v="1093.19"/>
    <n v="4679.06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62D0H"/>
    <n v="136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455.32204813999999"/>
    <n v="589.48617038999998"/>
    <n v="589.48617038999998"/>
    <n v="621.2528269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AGX)-KRPUS-(AX3)"/>
    <s v="77D12H"/>
    <n v="2"/>
    <s v="DR"/>
    <s v="D"/>
    <s v="Y"/>
    <s v="Y"/>
    <x v="52"/>
    <s v="TUTICORIN"/>
    <x v="33"/>
    <s v="TUTICOR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89"/>
    <n v="671.8"/>
    <n v="974.92"/>
    <n v="4555.03"/>
    <n v="0"/>
    <n v="0"/>
    <n v="538.89"/>
    <n v="671.8"/>
    <n v="974.92"/>
    <n v="4555.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04.18"/>
    <n v="605.04"/>
    <n v="605.04"/>
    <n v="0"/>
    <n v="0"/>
    <n v="0"/>
    <m/>
    <m/>
    <m/>
    <m/>
    <m/>
    <m/>
    <m/>
    <m/>
    <m/>
    <m/>
    <m/>
    <m/>
    <s v="TUT"/>
    <s v="AX3"/>
    <m/>
    <m/>
    <s v="S"/>
    <s v="76D0H"/>
    <n v="169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07003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2"/>
    <x v="2"/>
    <x v="2"/>
    <x v="20"/>
    <x v="22"/>
    <x v="22"/>
    <x v="0"/>
    <x v="0"/>
    <x v="0"/>
    <m/>
    <m/>
    <m/>
    <m/>
    <m/>
    <m/>
  </r>
  <r>
    <s v="LW"/>
    <s v="LWE"/>
    <s v="LWT"/>
    <s v="LW"/>
    <s v="AX2"/>
    <s v="E"/>
    <s v="(AX2)"/>
    <s v="44D21H"/>
    <n v="1"/>
    <s v="DR"/>
    <s v="D"/>
    <s v="Y"/>
    <s v="Y"/>
    <x v="27"/>
    <s v="WUHAN, HUBE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6.38"/>
    <n v="1125.6500000000001"/>
    <n v="1178.24"/>
    <n v="1315.23"/>
    <n v="0"/>
    <n v="0"/>
    <n v="766.38"/>
    <n v="1125.6500000000001"/>
    <n v="1178.24"/>
    <n v="1315.23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3D3H"/>
    <n v="807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068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4D1H"/>
    <n v="1"/>
    <s v="DR"/>
    <s v="D"/>
    <s v="Y"/>
    <s v="Y"/>
    <x v="27"/>
    <s v="WUHAN, HUBE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4.84"/>
    <n v="1132.8800000000001"/>
    <n v="1185.58"/>
    <n v="1309.31"/>
    <n v="0"/>
    <n v="0"/>
    <n v="774.84"/>
    <n v="1132.8800000000001"/>
    <n v="1185.58"/>
    <n v="1309.31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2D8H"/>
    <n v="820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068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4D21H"/>
    <n v="3"/>
    <s v="DR"/>
    <s v="D"/>
    <s v="Y"/>
    <s v="Y"/>
    <x v="27"/>
    <s v="WUHAN, HUBEI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8.37"/>
    <n v="1270.3499999999999"/>
    <n v="1322.94"/>
    <n v="1464.56"/>
    <n v="0"/>
    <n v="0"/>
    <n v="868.37"/>
    <n v="1270.3499999999999"/>
    <n v="1322.94"/>
    <n v="1464.56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3D3H"/>
    <n v="807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068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4D15H"/>
    <n v="1"/>
    <s v="DR"/>
    <s v="D"/>
    <s v="Y"/>
    <s v="Y"/>
    <x v="28"/>
    <s v="XIAMEN, FUJIAN"/>
    <x v="11"/>
    <s v="XIAMEN, FUJIA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8.86"/>
    <n v="463.09"/>
    <n v="440.6"/>
    <n v="559.87"/>
    <n v="0"/>
    <n v="0"/>
    <n v="338.86"/>
    <n v="463.09"/>
    <n v="440.6"/>
    <n v="559.87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0.06"/>
    <n v="675.22"/>
    <n v="675.22"/>
    <n v="0"/>
    <n v="0"/>
    <n v="0"/>
    <m/>
    <m/>
    <m/>
    <m/>
    <m/>
    <m/>
    <m/>
    <m/>
    <m/>
    <m/>
    <m/>
    <m/>
    <s v="AX2"/>
    <s v="AX2"/>
    <m/>
    <m/>
    <s v="S"/>
    <s v="33D4H"/>
    <n v="751"/>
    <s v="2018-09-29"/>
    <s v="Historical averaged cost."/>
    <n v="74.504000000000005"/>
    <n v="111.32866"/>
    <n v="111.32866"/>
    <n v="138.17556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4511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4"/>
    <x v="4"/>
    <x v="4"/>
    <x v="0"/>
    <x v="0"/>
    <x v="0"/>
    <m/>
    <m/>
    <m/>
    <m/>
    <m/>
    <m/>
  </r>
  <r>
    <s v="LW"/>
    <s v="LWE"/>
    <s v="LWT"/>
    <s v="LW"/>
    <s v="AX2"/>
    <s v="E"/>
    <s v="(FE4)-KRPUS-(AX2)"/>
    <s v="53D2H"/>
    <n v="1"/>
    <s v="DR"/>
    <s v="D"/>
    <s v="Y"/>
    <s v="Y"/>
    <x v="29"/>
    <s v="XIAOL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6.52"/>
    <n v="569.1"/>
    <n v="949.51"/>
    <n v="772.5"/>
    <n v="0"/>
    <n v="0"/>
    <n v="726.52"/>
    <n v="569.1"/>
    <n v="949.51"/>
    <n v="772.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51D8H"/>
    <n v="1087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6D21H"/>
    <n v="1"/>
    <s v="DR"/>
    <s v="D"/>
    <s v="Y"/>
    <s v="Y"/>
    <x v="29"/>
    <s v="XIAOLAN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8.4"/>
    <n v="524.79"/>
    <n v="906.96"/>
    <n v="714.42"/>
    <n v="0"/>
    <n v="0"/>
    <n v="658.4"/>
    <n v="524.79"/>
    <n v="906.96"/>
    <n v="714.42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5D3H"/>
    <n v="780"/>
    <s v="2018-09-29"/>
    <s v="Historical averaged cost."/>
    <n v="96.056539999999998"/>
    <n v="143.83482000000001"/>
    <n v="143.83482000000001"/>
    <n v="143.83482000000001"/>
    <n v="0"/>
    <n v="0"/>
    <n v="93.006420000000006"/>
    <n v="140.14667"/>
    <n v="140.14667"/>
    <n v="152.8872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6H"/>
    <n v="3"/>
    <s v="DR"/>
    <s v="D"/>
    <s v="Y"/>
    <s v="Y"/>
    <x v="29"/>
    <s v="XIAOLA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04999999999995"/>
    <n v="499.86"/>
    <n v="882.48"/>
    <n v="689.51"/>
    <n v="0"/>
    <n v="0"/>
    <n v="644.04999999999995"/>
    <n v="499.86"/>
    <n v="882.48"/>
    <n v="689.51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12H"/>
    <n v="689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4D19H"/>
    <n v="1"/>
    <s v="DR"/>
    <s v="D"/>
    <s v="Y"/>
    <s v="Y"/>
    <x v="29"/>
    <s v="XIAOLAN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6.38"/>
    <n v="354.78"/>
    <n v="737.17"/>
    <n v="525.83000000000004"/>
    <n v="0"/>
    <n v="0"/>
    <n v="546.38"/>
    <n v="354.78"/>
    <n v="737.17"/>
    <n v="525.83000000000004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3D2H"/>
    <n v="706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3D5H"/>
    <n v="1"/>
    <s v="DR"/>
    <s v="D"/>
    <s v="Y"/>
    <s v="Y"/>
    <x v="29"/>
    <s v="XIAOL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5.23"/>
    <n v="624.75"/>
    <n v="999.87"/>
    <n v="728.01"/>
    <n v="0"/>
    <n v="0"/>
    <n v="855.23"/>
    <n v="624.75"/>
    <n v="999.87"/>
    <n v="728.01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51D12H"/>
    <n v="1101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6H"/>
    <n v="1"/>
    <s v="DR"/>
    <s v="D"/>
    <s v="Y"/>
    <s v="Y"/>
    <x v="29"/>
    <s v="XIAOLA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2.05999999999995"/>
    <n v="355.16"/>
    <n v="737.77"/>
    <n v="540.19000000000005"/>
    <n v="0"/>
    <n v="0"/>
    <n v="542.05999999999995"/>
    <n v="355.16"/>
    <n v="737.77"/>
    <n v="540.1900000000000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12H"/>
    <n v="674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7D2H"/>
    <n v="1"/>
    <s v="DR"/>
    <s v="D"/>
    <s v="Y"/>
    <s v="Y"/>
    <x v="29"/>
    <s v="XIAOL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9.47"/>
    <n v="559.54"/>
    <n v="940.61"/>
    <n v="793.35"/>
    <n v="0"/>
    <n v="0"/>
    <n v="709.47"/>
    <n v="559.54"/>
    <n v="940.61"/>
    <n v="793.3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5D9H"/>
    <n v="962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HKHKG-(AX2)"/>
    <s v="51D2H"/>
    <n v="1"/>
    <s v="DR"/>
    <s v="D"/>
    <s v="Y"/>
    <s v="Y"/>
    <x v="29"/>
    <s v="XIAOL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5.07"/>
    <n v="567.86"/>
    <n v="948.49"/>
    <n v="806.27"/>
    <n v="0"/>
    <n v="0"/>
    <n v="715.07"/>
    <n v="567.86"/>
    <n v="948.49"/>
    <n v="806.27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S"/>
    <s v="49D8H"/>
    <n v="1031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X1)-HKHKG-(AX2)"/>
    <s v="49D2H"/>
    <n v="1"/>
    <s v="DR"/>
    <s v="D"/>
    <s v="Y"/>
    <s v="Y"/>
    <x v="29"/>
    <s v="XIAOL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2.27"/>
    <n v="563.70000000000005"/>
    <n v="944.55"/>
    <n v="799.81"/>
    <n v="0"/>
    <n v="0"/>
    <n v="712.27"/>
    <n v="563.70000000000005"/>
    <n v="944.55"/>
    <n v="799.81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X1"/>
    <s v="AX2"/>
    <s v="F"/>
    <m/>
    <s v="S"/>
    <s v="47D8H"/>
    <n v="999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9D5H"/>
    <n v="2"/>
    <s v="DR"/>
    <s v="D"/>
    <s v="Y"/>
    <s v="Y"/>
    <x v="29"/>
    <s v="XIAOL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6.92"/>
    <n v="539.98"/>
    <n v="921.93"/>
    <n v="727.28"/>
    <n v="0"/>
    <n v="0"/>
    <n v="706.92"/>
    <n v="539.98"/>
    <n v="921.93"/>
    <n v="727.28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7D12H"/>
    <n v="765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430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3"/>
    <s v="E"/>
    <s v="(BHX)-KRPUS-(AX3)"/>
    <s v="37D19H"/>
    <n v="2"/>
    <s v="DR"/>
    <s v="D"/>
    <s v="Y"/>
    <s v="Y"/>
    <x v="30"/>
    <s v="XINGANG, TIANJIN"/>
    <x v="19"/>
    <s v="XINGANG, TIANJ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8.55"/>
    <n v="593.11"/>
    <n v="575.04"/>
    <n v="509.85"/>
    <n v="0"/>
    <n v="0"/>
    <n v="418.55"/>
    <n v="593.11"/>
    <n v="575.04"/>
    <n v="509.85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8.6"/>
    <n v="671.86"/>
    <n v="671.86"/>
    <n v="0"/>
    <n v="0"/>
    <n v="0"/>
    <m/>
    <m/>
    <m/>
    <m/>
    <m/>
    <m/>
    <m/>
    <m/>
    <m/>
    <m/>
    <m/>
    <m/>
    <s v="BHX"/>
    <s v="AX3"/>
    <m/>
    <m/>
    <s v="S"/>
    <s v="36D7H"/>
    <n v="811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93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4"/>
    <x v="17"/>
    <x v="17"/>
    <x v="0"/>
    <x v="0"/>
    <x v="0"/>
    <m/>
    <m/>
    <m/>
    <m/>
    <m/>
    <m/>
  </r>
  <r>
    <s v="LW"/>
    <s v="LWE"/>
    <s v="LWT"/>
    <s v="LW"/>
    <s v="AX2"/>
    <s v="E"/>
    <s v="(BHX)-KRPUS-(AX2)"/>
    <s v="33D15H"/>
    <n v="1"/>
    <s v="DR"/>
    <s v="D"/>
    <s v="Y"/>
    <s v="Y"/>
    <x v="30"/>
    <s v="XINGANG, TIANJIN"/>
    <x v="19"/>
    <s v="XINGANG, TIANJIN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3.77"/>
    <n v="645.55999999999995"/>
    <n v="627.94000000000005"/>
    <n v="572.02"/>
    <n v="0"/>
    <n v="0"/>
    <n v="453.77"/>
    <n v="645.55999999999995"/>
    <n v="627.94000000000005"/>
    <n v="572.02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48.6"/>
    <n v="671.86"/>
    <n v="671.86"/>
    <n v="0"/>
    <n v="0"/>
    <n v="0"/>
    <m/>
    <m/>
    <m/>
    <m/>
    <m/>
    <m/>
    <m/>
    <m/>
    <m/>
    <m/>
    <m/>
    <m/>
    <s v="BHX"/>
    <s v="AX2"/>
    <m/>
    <m/>
    <s v="S"/>
    <s v="32D3H"/>
    <n v="711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93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2"/>
    <x v="2"/>
    <x v="2"/>
    <x v="4"/>
    <x v="17"/>
    <x v="17"/>
    <x v="0"/>
    <x v="0"/>
    <x v="0"/>
    <m/>
    <m/>
    <m/>
    <m/>
    <m/>
    <m/>
  </r>
  <r>
    <s v="LW"/>
    <s v="LWE"/>
    <s v="LWT"/>
    <s v="LW"/>
    <s v="AX1"/>
    <s v="E"/>
    <s v="(AX1)-MXZLO-(AX2)"/>
    <s v="48D23H"/>
    <n v="1"/>
    <s v="DR"/>
    <s v="D"/>
    <s v="Y"/>
    <s v="Y"/>
    <x v="31"/>
    <s v="YANTI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8.87"/>
    <n v="922.34"/>
    <n v="906.2"/>
    <n v="834.17"/>
    <n v="0"/>
    <n v="0"/>
    <n v="748.87"/>
    <n v="922.34"/>
    <n v="906.2"/>
    <n v="834.17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m/>
    <m/>
    <s v="S"/>
    <s v="47D12H"/>
    <n v="1101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20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2D20H"/>
    <n v="1"/>
    <s v="DR"/>
    <s v="D"/>
    <s v="Y"/>
    <s v="Y"/>
    <x v="31"/>
    <s v="YANTI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3.11"/>
    <n v="857.12"/>
    <n v="846.95"/>
    <n v="899.5"/>
    <n v="0"/>
    <n v="0"/>
    <n v="603.11"/>
    <n v="857.12"/>
    <n v="846.95"/>
    <n v="899.5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m/>
    <m/>
    <s v="S"/>
    <s v="41D9H"/>
    <n v="962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208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X1)-HKHKG-(AX2)"/>
    <s v="44D20H"/>
    <n v="1"/>
    <s v="DR"/>
    <s v="D"/>
    <s v="Y"/>
    <s v="Y"/>
    <x v="31"/>
    <s v="YANTI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5.91"/>
    <n v="861.28"/>
    <n v="850.89"/>
    <n v="905.96"/>
    <n v="0"/>
    <n v="0"/>
    <n v="605.91"/>
    <n v="861.28"/>
    <n v="850.89"/>
    <n v="905.96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X1"/>
    <s v="AX2"/>
    <m/>
    <m/>
    <s v="S"/>
    <s v="43D8H"/>
    <n v="999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208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4H"/>
    <n v="1"/>
    <s v="DR"/>
    <s v="D"/>
    <s v="Y"/>
    <s v="Y"/>
    <x v="31"/>
    <s v="YANTIA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6.08000000000004"/>
    <n v="795.51"/>
    <n v="786.44"/>
    <n v="795.39"/>
    <n v="0"/>
    <n v="0"/>
    <n v="566.08000000000004"/>
    <n v="795.51"/>
    <n v="786.44"/>
    <n v="795.39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10H"/>
    <n v="674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208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4D23H"/>
    <n v="2"/>
    <s v="DR"/>
    <s v="D"/>
    <s v="Y"/>
    <s v="Y"/>
    <x v="31"/>
    <s v="YANTI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0.55999999999995"/>
    <n v="837.57"/>
    <n v="828.27"/>
    <n v="833.44"/>
    <n v="0"/>
    <n v="0"/>
    <n v="600.55999999999995"/>
    <n v="837.57"/>
    <n v="828.27"/>
    <n v="833.44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m/>
    <m/>
    <s v="S"/>
    <s v="33D12H"/>
    <n v="765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208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48D20H"/>
    <n v="1"/>
    <s v="DR"/>
    <s v="D"/>
    <s v="Y"/>
    <s v="Y"/>
    <x v="31"/>
    <s v="YANTI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0.16"/>
    <n v="866.69"/>
    <n v="855.85"/>
    <n v="878.66"/>
    <n v="0"/>
    <n v="0"/>
    <n v="620.16"/>
    <n v="866.69"/>
    <n v="855.85"/>
    <n v="878.66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m/>
    <m/>
    <s v="S"/>
    <s v="47D8H"/>
    <n v="1087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208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HKHKG-(AX2)"/>
    <s v="46D20H"/>
    <n v="1"/>
    <s v="DR"/>
    <s v="D"/>
    <s v="Y"/>
    <s v="Y"/>
    <x v="31"/>
    <s v="YANTI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8.71"/>
    <n v="865.44"/>
    <n v="854.83"/>
    <n v="912.42"/>
    <n v="0"/>
    <n v="0"/>
    <n v="608.71"/>
    <n v="865.44"/>
    <n v="854.83"/>
    <n v="912.42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m/>
    <m/>
    <s v="S"/>
    <s v="45D8H"/>
    <n v="1031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208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3"/>
    <s v="E"/>
    <s v="(AX3)"/>
    <s v="43D1H"/>
    <n v="1"/>
    <s v="DR"/>
    <s v="D"/>
    <s v="Y"/>
    <s v="Y"/>
    <x v="53"/>
    <s v="ZHANGJIAG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5.29"/>
    <n v="991.75"/>
    <n v="965.82"/>
    <n v="943.7"/>
    <n v="0"/>
    <n v="0"/>
    <n v="655.29"/>
    <n v="991.75"/>
    <n v="965.82"/>
    <n v="943.7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3"/>
    <s v="AX3"/>
    <s v="F"/>
    <m/>
    <s v="S"/>
    <s v="41D8H"/>
    <n v="820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909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3D21H"/>
    <n v="3"/>
    <s v="DR"/>
    <s v="D"/>
    <s v="Y"/>
    <s v="Y"/>
    <x v="53"/>
    <s v="ZHANGJIAG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8.81"/>
    <n v="1129.23"/>
    <n v="1103.18"/>
    <n v="1098.95"/>
    <n v="0"/>
    <n v="0"/>
    <n v="748.81"/>
    <n v="1129.23"/>
    <n v="1103.18"/>
    <n v="1098.95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T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909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3D21H"/>
    <n v="1"/>
    <s v="DR"/>
    <s v="D"/>
    <s v="Y"/>
    <s v="Y"/>
    <x v="53"/>
    <s v="ZHANGJIAGANG, JIANGSU"/>
    <x v="3"/>
    <s v="SHANGHAI, SHANGHAI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6.82000000000005"/>
    <n v="984.52"/>
    <n v="958.48"/>
    <n v="949.62"/>
    <n v="0"/>
    <n v="0"/>
    <n v="646.82000000000005"/>
    <n v="984.52"/>
    <n v="958.48"/>
    <n v="949.62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1.38"/>
    <n v="676.1"/>
    <n v="676.1"/>
    <n v="0"/>
    <n v="0"/>
    <n v="0"/>
    <m/>
    <m/>
    <m/>
    <m/>
    <m/>
    <m/>
    <m/>
    <m/>
    <m/>
    <m/>
    <m/>
    <m/>
    <s v="AX2"/>
    <s v="AX2"/>
    <s v="F"/>
    <m/>
    <s v="S"/>
    <s v="42D3H"/>
    <n v="80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909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0D9H"/>
    <n v="1"/>
    <s v="DR"/>
    <s v="D"/>
    <s v="Y"/>
    <s v="Y"/>
    <x v="54"/>
    <s v="ZHAPU, ZHEJIANG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4.91"/>
    <n v="670.12"/>
    <n v="674.8"/>
    <n v="527.98"/>
    <n v="0"/>
    <n v="0"/>
    <n v="444.91"/>
    <n v="670.12"/>
    <n v="674.8"/>
    <n v="527.98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2.4"/>
    <n v="680.63"/>
    <n v="680.63"/>
    <n v="0"/>
    <n v="0"/>
    <n v="0"/>
    <m/>
    <m/>
    <m/>
    <m/>
    <m/>
    <m/>
    <m/>
    <m/>
    <m/>
    <m/>
    <m/>
    <m/>
    <s v="AX2"/>
    <s v="AX2"/>
    <s v="F"/>
    <m/>
    <s v="S"/>
    <s v="28D15H"/>
    <n v="608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62.4"/>
    <n v="59.1"/>
    <n v="96.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87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12"/>
    <x v="12"/>
    <x v="12"/>
    <x v="0"/>
    <x v="0"/>
    <x v="0"/>
    <m/>
    <m/>
    <m/>
    <m/>
    <m/>
    <m/>
  </r>
  <r>
    <s v="LW"/>
    <s v="LWE"/>
    <s v="LWT"/>
    <s v="LW"/>
    <s v="AX3"/>
    <s v="E"/>
    <s v="(AX3)"/>
    <s v="41D1H"/>
    <n v="1"/>
    <s v="DR"/>
    <s v="D"/>
    <s v="Y"/>
    <s v="Y"/>
    <x v="54"/>
    <s v="ZHAPU, ZHEJIANG"/>
    <x v="4"/>
    <s v="NINGBO, ZHEJIA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0.17"/>
    <n v="702.31"/>
    <n v="705.78"/>
    <n v="560.82000000000005"/>
    <n v="0"/>
    <n v="0"/>
    <n v="470.17"/>
    <n v="702.31"/>
    <n v="705.78"/>
    <n v="560.82000000000005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52.4"/>
    <n v="680.63"/>
    <n v="680.63"/>
    <n v="0"/>
    <n v="0"/>
    <n v="0"/>
    <m/>
    <m/>
    <m/>
    <m/>
    <m/>
    <m/>
    <m/>
    <m/>
    <m/>
    <m/>
    <m/>
    <m/>
    <s v="AX3"/>
    <s v="AX3"/>
    <s v="F"/>
    <m/>
    <s v="S"/>
    <s v="39D7H"/>
    <n v="850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69.655000000000001"/>
    <n v="69.655000000000001"/>
    <n v="69.655000000000001"/>
    <n v="3.6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87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2"/>
    <x v="2"/>
    <x v="2"/>
    <x v="12"/>
    <x v="12"/>
    <x v="12"/>
    <x v="0"/>
    <x v="0"/>
    <x v="0"/>
    <m/>
    <m/>
    <m/>
    <m/>
    <m/>
    <m/>
  </r>
  <r>
    <s v="LW"/>
    <s v="LWE"/>
    <s v="LWT"/>
    <s v="LW"/>
    <s v="AX2"/>
    <s v="E"/>
    <s v="(FE4)-KRPUS-(AX2)"/>
    <s v="50D15H"/>
    <n v="1"/>
    <s v="DR"/>
    <s v="D"/>
    <s v="Y"/>
    <s v="Y"/>
    <x v="55"/>
    <s v="ZHONG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11"/>
    <n v="1041.53"/>
    <n v="995.48"/>
    <n v="1173.32"/>
    <n v="0"/>
    <n v="0"/>
    <n v="718.11"/>
    <n v="1041.53"/>
    <n v="995.48"/>
    <n v="1173.32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48D21H"/>
    <n v="1087"/>
    <s v="2018-09-29"/>
    <s v="Historical averaged cost."/>
    <n v="88.532589999999999"/>
    <n v="132.29938999999999"/>
    <n v="132.29938999999999"/>
    <n v="162.43816000000001"/>
    <n v="0"/>
    <n v="0"/>
    <n v="133.77636000000001"/>
    <n v="197.47939"/>
    <n v="197.47939"/>
    <n v="216.5903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5H"/>
    <n v="3"/>
    <s v="DR"/>
    <s v="D"/>
    <s v="Y"/>
    <s v="Y"/>
    <x v="55"/>
    <s v="ZHONGSHA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9.71"/>
    <n v="942.05"/>
    <n v="897.98"/>
    <n v="1058.57"/>
    <n v="0"/>
    <n v="0"/>
    <n v="639.71"/>
    <n v="942.05"/>
    <n v="897.98"/>
    <n v="1058.57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11H"/>
    <n v="689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4D15H"/>
    <n v="1"/>
    <s v="DR"/>
    <s v="D"/>
    <s v="Y"/>
    <s v="Y"/>
    <x v="55"/>
    <s v="ZHONG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1.06"/>
    <n v="1031.96"/>
    <n v="986.57"/>
    <n v="1194.17"/>
    <n v="0"/>
    <n v="0"/>
    <n v="701.06"/>
    <n v="1031.96"/>
    <n v="986.57"/>
    <n v="1194.17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2D22H"/>
    <n v="962"/>
    <s v="2018-09-29"/>
    <s v="Historical averaged cost."/>
    <n v="88.532589999999999"/>
    <n v="132.29938999999999"/>
    <n v="132.29938999999999"/>
    <n v="162.43816000000001"/>
    <n v="0"/>
    <n v="0"/>
    <n v="133.77636000000001"/>
    <n v="197.47939"/>
    <n v="197.47939"/>
    <n v="216.5903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5D2H"/>
    <n v="1"/>
    <s v="DR"/>
    <s v="D"/>
    <s v="Y"/>
    <s v="Y"/>
    <x v="55"/>
    <s v="ZHONGSHAN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4.59"/>
    <n v="799.52"/>
    <n v="755.23"/>
    <n v="897.43"/>
    <n v="0"/>
    <n v="0"/>
    <n v="544.59"/>
    <n v="799.52"/>
    <n v="755.23"/>
    <n v="897.43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3D9H"/>
    <n v="706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5H"/>
    <n v="1"/>
    <s v="DR"/>
    <s v="D"/>
    <s v="Y"/>
    <s v="Y"/>
    <x v="55"/>
    <s v="ZHONGSHAN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7.72"/>
    <n v="797.35"/>
    <n v="753.28"/>
    <n v="909.25"/>
    <n v="0"/>
    <n v="0"/>
    <n v="537.72"/>
    <n v="797.35"/>
    <n v="753.28"/>
    <n v="909.25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11H"/>
    <n v="674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6D21H"/>
    <n v="1"/>
    <s v="DR"/>
    <s v="D"/>
    <s v="Y"/>
    <s v="Y"/>
    <x v="55"/>
    <s v="ZHONGSHAN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6.61"/>
    <n v="966.98"/>
    <n v="922.47"/>
    <n v="1083.48"/>
    <n v="0"/>
    <n v="0"/>
    <n v="656.61"/>
    <n v="966.98"/>
    <n v="922.47"/>
    <n v="1083.48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5D3H"/>
    <n v="779"/>
    <s v="2018-09-29"/>
    <s v="Historical averaged cost."/>
    <n v="96.056539999999998"/>
    <n v="143.83482000000001"/>
    <n v="143.83482000000001"/>
    <n v="143.83482000000001"/>
    <n v="0"/>
    <n v="0"/>
    <n v="93.006420000000006"/>
    <n v="137.59854000000001"/>
    <n v="137.59854000000001"/>
    <n v="150.33914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6D18H"/>
    <n v="2"/>
    <s v="DR"/>
    <s v="D"/>
    <s v="Y"/>
    <s v="Y"/>
    <x v="55"/>
    <s v="ZHONG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8.51"/>
    <n v="1012.41"/>
    <n v="967.9"/>
    <n v="1128.0999999999999"/>
    <n v="0"/>
    <n v="0"/>
    <n v="698.51"/>
    <n v="1012.41"/>
    <n v="967.9"/>
    <n v="1128.0999999999999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5D1H"/>
    <n v="765"/>
    <s v="2018-09-29"/>
    <s v="Historical averaged cost."/>
    <n v="88.532589999999999"/>
    <n v="132.29938999999999"/>
    <n v="132.29938999999999"/>
    <n v="162.43816000000001"/>
    <n v="0"/>
    <n v="0"/>
    <n v="133.77636000000001"/>
    <n v="197.47939"/>
    <n v="197.47939"/>
    <n v="216.5903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0D18H"/>
    <n v="1"/>
    <s v="DR"/>
    <s v="D"/>
    <s v="Y"/>
    <s v="Y"/>
    <x v="55"/>
    <s v="ZHONGSHAN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6.82"/>
    <n v="1097.18"/>
    <n v="1045.83"/>
    <n v="1128.83"/>
    <n v="0"/>
    <n v="0"/>
    <n v="846.82"/>
    <n v="1097.18"/>
    <n v="1045.83"/>
    <n v="1128.83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49D1H"/>
    <n v="1101"/>
    <s v="2018-09-29"/>
    <s v="Historical averaged cost."/>
    <n v="88.532589999999999"/>
    <n v="132.29938999999999"/>
    <n v="132.29938999999999"/>
    <n v="162.43816000000001"/>
    <n v="0"/>
    <n v="0"/>
    <n v="133.77636000000001"/>
    <n v="197.47939"/>
    <n v="197.47939"/>
    <n v="216.59030000000001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6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2)"/>
    <s v="52D5H"/>
    <n v="1"/>
    <s v="DR"/>
    <s v="D"/>
    <s v="Y"/>
    <s v="Y"/>
    <x v="56"/>
    <s v="ZHUHA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7.37"/>
    <n v="1047.5999999999999"/>
    <n v="983.79"/>
    <n v="954.18"/>
    <n v="0"/>
    <n v="0"/>
    <n v="807.37"/>
    <n v="1047.5999999999999"/>
    <n v="983.79"/>
    <n v="954.18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50D12H"/>
    <n v="1101"/>
    <s v="2018-09-29"/>
    <s v="Historical averaged cost."/>
    <n v="89.532589999999999"/>
    <n v="133.29938999999999"/>
    <n v="133.29938999999999"/>
    <n v="163.43816000000001"/>
    <n v="0"/>
    <n v="0"/>
    <n v="95.554540000000003"/>
    <n v="159.25756999999999"/>
    <n v="159.25756999999999"/>
    <n v="171.99817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283.05799999999999"/>
    <n v="272.738"/>
    <n v="267.43799999999999"/>
    <n v="174.9079999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FE4)-KRPUS-(AX2)"/>
    <s v="52D2H"/>
    <n v="1"/>
    <s v="DR"/>
    <s v="D"/>
    <s v="Y"/>
    <s v="Y"/>
    <x v="56"/>
    <s v="ZHUHA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65"/>
    <n v="991.95"/>
    <n v="933.44"/>
    <n v="998.67"/>
    <n v="0"/>
    <n v="0"/>
    <n v="678.65"/>
    <n v="991.95"/>
    <n v="933.44"/>
    <n v="998.67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FE4"/>
    <s v="AX2"/>
    <s v="F"/>
    <m/>
    <s v="S"/>
    <s v="50D8H"/>
    <n v="1087"/>
    <s v="2018-09-29"/>
    <s v="Historical averaged cost."/>
    <n v="89.532589999999999"/>
    <n v="133.29938999999999"/>
    <n v="133.29938999999999"/>
    <n v="163.43816000000001"/>
    <n v="0"/>
    <n v="0"/>
    <n v="95.554540000000003"/>
    <n v="159.25756999999999"/>
    <n v="159.25756999999999"/>
    <n v="171.99817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5D2H"/>
    <n v="1"/>
    <s v="DR"/>
    <s v="D"/>
    <s v="Y"/>
    <s v="Y"/>
    <x v="56"/>
    <s v="ZHUHAI, GUANGDONG"/>
    <x v="9"/>
    <s v="SHEKOU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81"/>
    <n v="696.89"/>
    <n v="640.26"/>
    <n v="668.59"/>
    <n v="0"/>
    <n v="0"/>
    <n v="480.81"/>
    <n v="696.89"/>
    <n v="640.26"/>
    <n v="668.59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3D9H"/>
    <n v="706"/>
    <s v="2018-09-29"/>
    <s v="Historical averaged cost."/>
    <n v="111.87472"/>
    <n v="167.13449"/>
    <n v="167.13449"/>
    <n v="184.10584"/>
    <n v="0"/>
    <n v="0"/>
    <n v="53.510550000000002"/>
    <n v="82.813940000000002"/>
    <n v="82.813940000000002"/>
    <n v="95.554540000000003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NZJ)-HKHKG-(AX2)"/>
    <s v="46D2H"/>
    <n v="1"/>
    <s v="DR"/>
    <s v="D"/>
    <s v="Y"/>
    <s v="Y"/>
    <x v="56"/>
    <s v="ZHUHA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1.6"/>
    <n v="982.38"/>
    <n v="924.54"/>
    <n v="1019.52"/>
    <n v="0"/>
    <n v="0"/>
    <n v="661.6"/>
    <n v="982.38"/>
    <n v="924.54"/>
    <n v="1019.52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NZJ"/>
    <s v="AX2"/>
    <s v="F"/>
    <m/>
    <s v="S"/>
    <s v="44D9H"/>
    <n v="962"/>
    <s v="2018-09-29"/>
    <s v="Historical averaged cost."/>
    <n v="89.532589999999999"/>
    <n v="133.29938999999999"/>
    <n v="133.29938999999999"/>
    <n v="163.43816000000001"/>
    <n v="0"/>
    <n v="0"/>
    <n v="95.554540000000003"/>
    <n v="159.25756999999999"/>
    <n v="159.25756999999999"/>
    <n v="171.99817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3D6H"/>
    <n v="3"/>
    <s v="DR"/>
    <s v="D"/>
    <s v="Y"/>
    <s v="Y"/>
    <x v="56"/>
    <s v="ZHUHAI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79"/>
    <n v="901.85"/>
    <n v="845.44"/>
    <n v="895.98"/>
    <n v="0"/>
    <n v="0"/>
    <n v="621.79"/>
    <n v="901.85"/>
    <n v="845.44"/>
    <n v="895.98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SW"/>
    <s v="AX2"/>
    <s v="F"/>
    <m/>
    <s v="T"/>
    <s v="31D12H"/>
    <n v="689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1)-KRPUS-(AX2)"/>
    <s v="38D5H"/>
    <n v="2"/>
    <s v="DR"/>
    <s v="D"/>
    <s v="Y"/>
    <s v="Y"/>
    <x v="56"/>
    <s v="ZHUHAI, GUANGDONG"/>
    <x v="8"/>
    <s v="YANTIAN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9.05"/>
    <n v="962.83"/>
    <n v="905.86"/>
    <n v="953.45"/>
    <n v="0"/>
    <n v="0"/>
    <n v="659.05"/>
    <n v="962.83"/>
    <n v="905.86"/>
    <n v="953.45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1"/>
    <s v="AX2"/>
    <s v="F"/>
    <m/>
    <s v="S"/>
    <s v="36D12H"/>
    <n v="765"/>
    <s v="2018-09-29"/>
    <s v="Historical averaged cost."/>
    <n v="89.532589999999999"/>
    <n v="133.29938999999999"/>
    <n v="133.29938999999999"/>
    <n v="163.43816000000001"/>
    <n v="0"/>
    <n v="0"/>
    <n v="95.554540000000003"/>
    <n v="159.25756999999999"/>
    <n v="159.25756999999999"/>
    <n v="171.99817999999999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CAE)-HKHKG-(AX2)"/>
    <s v="38D13H"/>
    <n v="1"/>
    <s v="DR"/>
    <s v="D"/>
    <s v="Y"/>
    <s v="Y"/>
    <x v="56"/>
    <s v="ZHUHAI, GUANGDONG"/>
    <x v="22"/>
    <s v="NANSHA, GUANGD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4.7"/>
    <n v="971.98"/>
    <n v="914.91"/>
    <n v="970.94"/>
    <n v="0"/>
    <n v="0"/>
    <n v="664.7"/>
    <n v="971.98"/>
    <n v="914.91"/>
    <n v="970.94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CAE"/>
    <s v="AX2"/>
    <s v="F"/>
    <m/>
    <s v="S"/>
    <s v="36D19H"/>
    <n v="779"/>
    <s v="2018-09-29"/>
    <s v="Historical averaged cost."/>
    <n v="96.056539999999998"/>
    <n v="143.83482000000001"/>
    <n v="143.83482000000001"/>
    <n v="143.83482000000001"/>
    <n v="0"/>
    <n v="0"/>
    <n v="101.92485000000001"/>
    <n v="152.88727"/>
    <n v="152.88727"/>
    <n v="165.62788"/>
    <n v="0"/>
    <n v="0"/>
    <n v="59.79"/>
    <n v="60.344000000000001"/>
    <n v="60.344000000000001"/>
    <n v="6.3440000000000003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3D6H"/>
    <n v="1"/>
    <s v="DR"/>
    <s v="D"/>
    <s v="Y"/>
    <s v="Y"/>
    <x v="56"/>
    <s v="ZHUHAI, GUANGDONG"/>
    <x v="7"/>
    <s v="HONG KONG"/>
    <x v="2"/>
    <s v="BUENAVENTURA"/>
    <s v="COBUN"/>
    <s v="BUENAVENTURA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79999999999995"/>
    <n v="757.15"/>
    <n v="700.74"/>
    <n v="746.66"/>
    <n v="0"/>
    <n v="0"/>
    <n v="519.79999999999995"/>
    <n v="757.15"/>
    <n v="700.74"/>
    <n v="746.66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COBUN"/>
    <n v="15.54597167"/>
    <n v="12.994633922"/>
    <n v="40.739140970999998"/>
    <n v="-38.575100788"/>
    <n v="0"/>
    <n v="0"/>
    <n v="15.54597167"/>
    <n v="12.994633922"/>
    <n v="40.739140970999998"/>
    <n v="-38.575100788"/>
    <n v="0"/>
    <n v="0"/>
    <m/>
    <m/>
    <m/>
    <m/>
    <m/>
    <m/>
    <n v="486.93"/>
    <n v="732.13"/>
    <n v="732.13"/>
    <n v="0"/>
    <n v="0"/>
    <n v="0"/>
    <m/>
    <m/>
    <m/>
    <m/>
    <m/>
    <m/>
    <m/>
    <m/>
    <m/>
    <m/>
    <m/>
    <m/>
    <s v="AX2"/>
    <s v="AX2"/>
    <s v="F"/>
    <m/>
    <s v="S"/>
    <s v="31D12H"/>
    <n v="674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59.79"/>
    <n v="60.344000000000001"/>
    <n v="60.344000000000001"/>
    <n v="6.34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813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2"/>
    <x v="2"/>
    <x v="2"/>
    <x v="3"/>
    <x v="3"/>
    <x v="3"/>
    <x v="0"/>
    <x v="0"/>
    <x v="0"/>
    <m/>
    <m/>
    <m/>
    <m/>
    <m/>
    <m/>
  </r>
  <r>
    <s v="LW"/>
    <s v="LWE"/>
    <s v="LWT"/>
    <s v="LW"/>
    <s v="AX2"/>
    <s v="E"/>
    <s v="(KVT)-KRPUS-(AX2)"/>
    <s v="34D15H"/>
    <n v="2"/>
    <s v="DR"/>
    <s v="D"/>
    <s v="Y"/>
    <s v="Y"/>
    <x v="57"/>
    <s v="BANGKOK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5.1"/>
    <n v="772.31"/>
    <n v="566.34"/>
    <n v="704.5"/>
    <n v="0"/>
    <n v="0"/>
    <n v="535.1"/>
    <n v="772.31"/>
    <n v="566.34"/>
    <n v="704.5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KVT"/>
    <s v="AX2"/>
    <s v="F"/>
    <m/>
    <s v="S"/>
    <s v="32D21H"/>
    <n v="769"/>
    <s v="2018-09-29"/>
    <s v="Historical averaged cost."/>
    <n v="38.906759999999998"/>
    <n v="65.481179999999995"/>
    <n v="65.481179999999995"/>
    <n v="71.611009999999993"/>
    <n v="0"/>
    <n v="0"/>
    <n v="40.414790000000004"/>
    <n v="55.138390000000001"/>
    <n v="55.138390000000001"/>
    <n v="68.66007000000000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89.35736"/>
    <n v="255.02028195"/>
    <n v="255.02028195"/>
    <n v="263.09893649999998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000006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JT4)-HKHKG-(AX2)"/>
    <s v="50D15H"/>
    <n v="2"/>
    <s v="DR"/>
    <s v="D"/>
    <s v="Y"/>
    <s v="Y"/>
    <x v="57"/>
    <s v="BANGKOK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0.03"/>
    <n v="768.17"/>
    <n v="560.45000000000005"/>
    <n v="738.75"/>
    <n v="0"/>
    <n v="0"/>
    <n v="520.03"/>
    <n v="768.17"/>
    <n v="560.45000000000005"/>
    <n v="738.75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4"/>
    <s v="AX2"/>
    <s v="F"/>
    <m/>
    <s v="S"/>
    <s v="48D21H"/>
    <n v="1141"/>
    <s v="2018-09-29"/>
    <s v="Historical averaged cost."/>
    <n v="34.885480000000001"/>
    <n v="57.674869999999999"/>
    <n v="57.674869999999999"/>
    <n v="63.660469999999997"/>
    <n v="0"/>
    <n v="0"/>
    <n v="50.631169999999997"/>
    <n v="60.547060000000002"/>
    <n v="60.547060000000002"/>
    <n v="62.65043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00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JT3)-HKHKG-(AX2)"/>
    <s v="51D21H"/>
    <n v="2"/>
    <s v="DR"/>
    <s v="D"/>
    <s v="Y"/>
    <s v="Y"/>
    <x v="57"/>
    <s v="BANGKOK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5.23"/>
    <n v="772.65"/>
    <n v="564.80999999999995"/>
    <n v="755.94"/>
    <n v="0"/>
    <n v="0"/>
    <n v="515.23"/>
    <n v="772.65"/>
    <n v="564.80999999999995"/>
    <n v="755.94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3"/>
    <s v="AX2"/>
    <s v="F"/>
    <m/>
    <s v="S"/>
    <s v="50D3H"/>
    <n v="1135"/>
    <s v="2018-09-29"/>
    <s v="Historical averaged cost."/>
    <n v="38.906759999999998"/>
    <n v="65.481179999999995"/>
    <n v="65.481179999999995"/>
    <n v="71.611009999999993"/>
    <n v="0"/>
    <n v="0"/>
    <n v="40.414790000000004"/>
    <n v="55.138390000000001"/>
    <n v="55.138390000000001"/>
    <n v="68.66007000000000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000003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JT3)-HKHKG-(AX1)"/>
    <s v="49D9H"/>
    <n v="2"/>
    <s v="DR"/>
    <s v="D"/>
    <s v="Y"/>
    <s v="Y"/>
    <x v="57"/>
    <s v="BANGKOK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7.69000000000005"/>
    <n v="783.75"/>
    <n v="576.25"/>
    <n v="733.59"/>
    <n v="0"/>
    <n v="0"/>
    <n v="517.69000000000005"/>
    <n v="783.75"/>
    <n v="576.25"/>
    <n v="733.59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3"/>
    <s v="AX1"/>
    <s v="F"/>
    <m/>
    <s v="S"/>
    <s v="47D15H"/>
    <n v="1075"/>
    <s v="2018-09-29"/>
    <s v="Historical averaged cost."/>
    <n v="38.906759999999998"/>
    <n v="65.481179999999995"/>
    <n v="65.481179999999995"/>
    <n v="71.611009999999993"/>
    <n v="0"/>
    <n v="0"/>
    <n v="40.414790000000004"/>
    <n v="55.138390000000001"/>
    <n v="55.138390000000001"/>
    <n v="68.66007000000000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00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JT1)-KRPUS-(AX1)"/>
    <s v="47D21H"/>
    <n v="1"/>
    <s v="DR"/>
    <s v="D"/>
    <s v="Y"/>
    <s v="Y"/>
    <x v="57"/>
    <s v="BANGKOK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46"/>
    <n v="706.28"/>
    <n v="498.88"/>
    <n v="603.77"/>
    <n v="0"/>
    <n v="0"/>
    <n v="480.46"/>
    <n v="706.28"/>
    <n v="498.88"/>
    <n v="603.77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1"/>
    <s v="AX1"/>
    <s v="F"/>
    <m/>
    <s v="S"/>
    <s v="46D4H"/>
    <n v="959"/>
    <s v="2018-09-29"/>
    <s v="Historical averaged cost."/>
    <n v="34.885480000000001"/>
    <n v="57.674869999999999"/>
    <n v="57.674869999999999"/>
    <n v="63.660469999999997"/>
    <n v="0"/>
    <n v="0"/>
    <n v="50.631169999999997"/>
    <n v="60.547060000000002"/>
    <n v="60.547060000000002"/>
    <n v="62.6504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00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PN2)-CNYTN-(AX1)"/>
    <s v="43D5H"/>
    <n v="1"/>
    <s v="DR"/>
    <s v="D"/>
    <s v="Y"/>
    <s v="Y"/>
    <x v="57"/>
    <s v="BANGKOK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4.12"/>
    <n v="675.37"/>
    <n v="468.52"/>
    <n v="597.26"/>
    <n v="0"/>
    <n v="0"/>
    <n v="454.12"/>
    <n v="675.37"/>
    <n v="468.52"/>
    <n v="597.26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PN2"/>
    <s v="AX1"/>
    <s v="F"/>
    <m/>
    <s v="S"/>
    <s v="41D11H"/>
    <n v="963"/>
    <s v="2018-09-29"/>
    <s v="Historical averaged cost."/>
    <n v="34.885480000000001"/>
    <n v="57.674869999999999"/>
    <n v="57.674869999999999"/>
    <n v="63.660469999999997"/>
    <n v="0"/>
    <n v="0"/>
    <n v="50.631169999999997"/>
    <n v="60.547060000000002"/>
    <n v="60.547060000000002"/>
    <n v="62.6504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00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AX1)"/>
    <s v="40D5H"/>
    <n v="1"/>
    <s v="DR"/>
    <s v="D"/>
    <s v="Y"/>
    <s v="Y"/>
    <x v="58"/>
    <s v="BEIJIAO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7.57"/>
    <n v="295.16000000000003"/>
    <n v="468.72"/>
    <n v="584.77"/>
    <n v="0"/>
    <n v="0"/>
    <n v="477.57"/>
    <n v="295.16000000000003"/>
    <n v="468.72"/>
    <n v="584.77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8D12H"/>
    <n v="789"/>
    <s v="2018-09-29"/>
    <s v="Historical averaged cost."/>
    <n v="89.532589999999999"/>
    <n v="133.29938999999999"/>
    <n v="133.29938999999999"/>
    <n v="163.43816000000001"/>
    <n v="0"/>
    <n v="0"/>
    <n v="96.828609999999998"/>
    <n v="159.25756999999999"/>
    <n v="159.25756999999999"/>
    <n v="175.18333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691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7D0H"/>
    <n v="3"/>
    <s v="DR"/>
    <s v="D"/>
    <s v="Y"/>
    <s v="Y"/>
    <x v="58"/>
    <s v="BEIJIAO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3.72"/>
    <n v="416.69"/>
    <n v="590.57000000000005"/>
    <n v="742.24"/>
    <n v="0"/>
    <n v="0"/>
    <n v="573.72"/>
    <n v="416.69"/>
    <n v="590.57000000000005"/>
    <n v="742.24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5D6H"/>
    <n v="773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691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9D14H"/>
    <n v="1"/>
    <s v="DR"/>
    <s v="D"/>
    <s v="Y"/>
    <s v="Y"/>
    <x v="58"/>
    <s v="BEIJIAO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0.31"/>
    <n v="207.69"/>
    <n v="381.25"/>
    <n v="508.27"/>
    <n v="0"/>
    <n v="0"/>
    <n v="430.31"/>
    <n v="207.69"/>
    <n v="381.25"/>
    <n v="508.27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7D21H"/>
    <n v="790"/>
    <s v="2018-09-29"/>
    <s v="Historical averaged cost."/>
    <n v="111.87472"/>
    <n v="167.13449"/>
    <n v="167.13449"/>
    <n v="184.10584"/>
    <n v="0"/>
    <n v="0"/>
    <n v="33.890009999999997"/>
    <n v="55.294229999999999"/>
    <n v="55.294229999999999"/>
    <n v="65.35930999999999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691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7D0H"/>
    <n v="1"/>
    <s v="DR"/>
    <s v="D"/>
    <s v="Y"/>
    <s v="Y"/>
    <x v="58"/>
    <s v="BEIJIAO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1.73"/>
    <n v="271.99"/>
    <n v="445.87"/>
    <n v="592.91"/>
    <n v="0"/>
    <n v="0"/>
    <n v="471.73"/>
    <n v="271.99"/>
    <n v="445.87"/>
    <n v="592.91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5D6H"/>
    <n v="758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691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20H"/>
    <n v="1"/>
    <s v="DR"/>
    <s v="D"/>
    <s v="Y"/>
    <s v="Y"/>
    <x v="58"/>
    <s v="BEIJIAO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1.18"/>
    <n v="293.49"/>
    <n v="467.16"/>
    <n v="586.72"/>
    <n v="0"/>
    <n v="0"/>
    <n v="481.18"/>
    <n v="293.49"/>
    <n v="467.16"/>
    <n v="586.72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2H"/>
    <n v="800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691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CCU)-SGSIN-(NX2)-KRPUS-(AX1)"/>
    <s v="51D12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8"/>
    <n v="752.76"/>
    <n v="781.81"/>
    <n v="4638.0200000000004"/>
    <n v="0"/>
    <n v="0"/>
    <n v="480.8"/>
    <n v="752.76"/>
    <n v="781.81"/>
    <n v="4638.0200000000004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1"/>
    <m/>
    <m/>
    <s v="S"/>
    <s v="50D0H"/>
    <n v="1146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1"/>
    <s v="E"/>
    <s v="(CCU)-SGSIN-(AGX)-KRPUS-(AX1)"/>
    <s v="58D12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0.6"/>
    <n v="767.32"/>
    <n v="795.6"/>
    <n v="4660.63"/>
    <n v="0"/>
    <n v="0"/>
    <n v="490.6"/>
    <n v="767.32"/>
    <n v="795.6"/>
    <n v="4660.63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1"/>
    <m/>
    <m/>
    <s v="S"/>
    <s v="57D0H"/>
    <n v="1314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1"/>
    <s v="E"/>
    <s v="(CCU)-MYPKG-(NX2)-KRPUS-(AX1)"/>
    <s v="51D12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4.86"/>
    <n v="727.72"/>
    <n v="756.77"/>
    <n v="4630.1499999999996"/>
    <n v="0"/>
    <n v="0"/>
    <n v="414.86"/>
    <n v="727.72"/>
    <n v="756.77"/>
    <n v="4630.1499999999996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1"/>
    <m/>
    <m/>
    <s v="S"/>
    <s v="50D0H"/>
    <n v="1146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85.95184814999999"/>
    <n v="270.18417596"/>
    <n v="270.18417596"/>
    <n v="287.35572686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3"/>
    <s v="E"/>
    <s v="(CCU)-SGSIN-(AGX)-KRPUS-(AX3)"/>
    <s v="64D21H"/>
    <n v="2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8"/>
    <n v="644.6"/>
    <n v="679.37"/>
    <n v="4470.0600000000004"/>
    <n v="0"/>
    <n v="0"/>
    <n v="408"/>
    <n v="644.6"/>
    <n v="679.37"/>
    <n v="4470.0600000000004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3"/>
    <m/>
    <m/>
    <s v="S"/>
    <s v="63D9H"/>
    <n v="1467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2"/>
    <s v="E"/>
    <s v="(CCU)-SGSIN-(AGX)-KRPUS-(AX2)"/>
    <s v="61D0H"/>
    <n v="2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2.03"/>
    <n v="697.35"/>
    <n v="732.12"/>
    <n v="4555.12"/>
    <n v="0"/>
    <n v="0"/>
    <n v="452.03"/>
    <n v="697.35"/>
    <n v="732.12"/>
    <n v="4555.12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2"/>
    <m/>
    <m/>
    <s v="S"/>
    <s v="59D12H"/>
    <n v="1374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1"/>
    <s v="E"/>
    <s v="(CCU)-SGSIN-(MD3)-KRPUS-(AX1)"/>
    <s v="58D12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0.6"/>
    <n v="767.32"/>
    <n v="795.6"/>
    <n v="4660.63"/>
    <n v="0"/>
    <n v="0"/>
    <n v="490.6"/>
    <n v="767.32"/>
    <n v="795.6"/>
    <n v="4660.63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1"/>
    <m/>
    <m/>
    <s v="S"/>
    <s v="57D0H"/>
    <n v="1314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1"/>
    <s v="E"/>
    <s v="(CCU)-SGSIN-(MD2)-KRPUS-(AX1)"/>
    <s v="51D12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8"/>
    <n v="752.76"/>
    <n v="781.81"/>
    <n v="4638.0200000000004"/>
    <n v="0"/>
    <n v="0"/>
    <n v="480.8"/>
    <n v="752.76"/>
    <n v="781.81"/>
    <n v="4638.0200000000004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1"/>
    <m/>
    <m/>
    <s v="S"/>
    <s v="50D0H"/>
    <n v="1146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1"/>
    <s v="E"/>
    <s v="(CU2)-SGSIN-(MD3)-KRPUS-(AX1)"/>
    <s v="58D14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0.6"/>
    <n v="767.32"/>
    <n v="795.6"/>
    <n v="4660.63"/>
    <n v="0"/>
    <n v="0"/>
    <n v="490.6"/>
    <n v="767.32"/>
    <n v="795.6"/>
    <n v="4660.63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U2"/>
    <s v="AX1"/>
    <m/>
    <m/>
    <s v="S"/>
    <s v="57D2H"/>
    <n v="1292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1"/>
    <s v="E"/>
    <s v="(CCU)-SGSIN-(CSW)-KRPUS-(AX1)"/>
    <s v="58D12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1.28"/>
    <n v="837.41"/>
    <n v="865.69"/>
    <n v="4733.03"/>
    <n v="0"/>
    <n v="0"/>
    <n v="541.28"/>
    <n v="837.41"/>
    <n v="865.69"/>
    <n v="4733.03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1"/>
    <m/>
    <m/>
    <s v="S"/>
    <s v="57D0H"/>
    <n v="1314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1"/>
    <s v="E"/>
    <s v="(CCU)-MYPKG-(AGX)-KRPUS-(AX1)"/>
    <s v="58D12H"/>
    <n v="1"/>
    <s v="DR"/>
    <s v="D"/>
    <s v="Y"/>
    <s v="Y"/>
    <x v="59"/>
    <s v="CALCUTTA"/>
    <x v="34"/>
    <s v="CALCUT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4.66"/>
    <n v="742.28"/>
    <n v="770.56"/>
    <n v="4652.76"/>
    <n v="0"/>
    <n v="0"/>
    <n v="424.66"/>
    <n v="742.28"/>
    <n v="770.56"/>
    <n v="4652.76"/>
    <n v="0"/>
    <n v="0"/>
    <s v="INCCU"/>
    <n v="-63.389388527000001"/>
    <n v="16.486672984999998"/>
    <n v="233.680618385"/>
    <n v="4015.506020588"/>
    <n v="0"/>
    <n v="0"/>
    <n v="-63.389388527000001"/>
    <n v="16.486672984999998"/>
    <n v="233.680618385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37"/>
    <n v="679.31"/>
    <n v="679.31"/>
    <n v="0"/>
    <n v="0"/>
    <n v="0"/>
    <m/>
    <m/>
    <m/>
    <m/>
    <m/>
    <m/>
    <m/>
    <m/>
    <m/>
    <m/>
    <m/>
    <m/>
    <s v="CCU"/>
    <s v="AX1"/>
    <m/>
    <m/>
    <s v="S"/>
    <s v="57D0H"/>
    <n v="1314"/>
    <s v="2018-09-29"/>
    <s v="Historical averaged cost."/>
    <n v="168.68172999999999"/>
    <n v="253.0231"/>
    <n v="253.0231"/>
    <n v="113.17100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85.95184814999999"/>
    <n v="270.18417596"/>
    <n v="270.18417596"/>
    <n v="287.35572686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386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1"/>
    <x v="23"/>
    <x v="23"/>
    <x v="0"/>
    <x v="0"/>
    <x v="0"/>
    <m/>
    <m/>
    <m/>
    <m/>
    <m/>
    <m/>
  </r>
  <r>
    <s v="LW"/>
    <s v="LWE"/>
    <s v="LWT"/>
    <s v="LW"/>
    <s v="AX2"/>
    <s v="E"/>
    <s v="(AX2)-MXZLO-(AX3)"/>
    <s v="55D6H"/>
    <n v="3"/>
    <s v="DR"/>
    <s v="D"/>
    <s v="Y"/>
    <s v="Y"/>
    <x v="60"/>
    <s v="CHANGSHA, HUNAN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8.37"/>
    <n v="1060.79"/>
    <n v="1003"/>
    <n v="1637.38"/>
    <n v="0"/>
    <n v="0"/>
    <n v="908.37"/>
    <n v="1060.79"/>
    <n v="1003"/>
    <n v="1637.38"/>
    <n v="0"/>
    <n v="0"/>
    <s v="CNCSX"/>
    <n v="250.72"/>
    <n v="102.12177176"/>
    <n v="232.798864232"/>
    <n v="538.43971789700004"/>
    <n v="0"/>
    <n v="0"/>
    <n v="250.72"/>
    <n v="102.12177176"/>
    <n v="232.798864232"/>
    <n v="538.439717897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53D12H"/>
    <n v="984"/>
    <s v="2018-09-29"/>
    <s v="Historical averaged cost."/>
    <n v="99.140680000000003"/>
    <n v="148.71053000000001"/>
    <n v="148.71053000000001"/>
    <n v="179.43451999999999"/>
    <n v="0"/>
    <n v="0"/>
    <n v="230"/>
    <n v="415"/>
    <n v="415"/>
    <n v="49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166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2D21H"/>
    <n v="1"/>
    <s v="DR"/>
    <s v="D"/>
    <s v="Y"/>
    <s v="Y"/>
    <x v="60"/>
    <s v="CHANGSHA, HUNAN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0.87"/>
    <n v="835.14"/>
    <n v="778.66"/>
    <n v="1397.92"/>
    <n v="0"/>
    <n v="0"/>
    <n v="690.87"/>
    <n v="835.14"/>
    <n v="778.66"/>
    <n v="1397.92"/>
    <n v="0"/>
    <n v="0"/>
    <s v="CNCSX"/>
    <n v="250.72"/>
    <n v="102.12177176"/>
    <n v="232.798864232"/>
    <n v="538.43971789700004"/>
    <n v="0"/>
    <n v="0"/>
    <n v="250.72"/>
    <n v="102.12177176"/>
    <n v="232.798864232"/>
    <n v="538.439717897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41D4H"/>
    <n v="716"/>
    <s v="2018-09-29"/>
    <s v="Historical averaged cost."/>
    <n v="99.140680000000003"/>
    <n v="148.71053000000001"/>
    <n v="148.71053000000001"/>
    <n v="179.43451999999999"/>
    <n v="0"/>
    <n v="0"/>
    <n v="230"/>
    <n v="415"/>
    <n v="415"/>
    <n v="49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166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51D9H"/>
    <n v="3"/>
    <s v="DR"/>
    <s v="D"/>
    <s v="Y"/>
    <s v="Y"/>
    <x v="60"/>
    <s v="CHANGSHA, HUNAN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7.4"/>
    <n v="979.13"/>
    <n v="921.78"/>
    <n v="1585.74"/>
    <n v="0"/>
    <n v="0"/>
    <n v="797.4"/>
    <n v="979.13"/>
    <n v="921.78"/>
    <n v="1585.74"/>
    <n v="0"/>
    <n v="0"/>
    <s v="CNCSX"/>
    <n v="250.72"/>
    <n v="102.12177176"/>
    <n v="232.798864232"/>
    <n v="538.43971789700004"/>
    <n v="0"/>
    <n v="0"/>
    <n v="250.72"/>
    <n v="102.12177176"/>
    <n v="232.798864232"/>
    <n v="538.439717897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9D15H"/>
    <n v="891"/>
    <s v="2018-09-29"/>
    <s v="Historical averaged cost."/>
    <n v="99.140680000000003"/>
    <n v="148.71053000000001"/>
    <n v="148.71053000000001"/>
    <n v="179.43451999999999"/>
    <n v="0"/>
    <n v="0"/>
    <n v="230"/>
    <n v="415"/>
    <n v="415"/>
    <n v="49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166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50D6H"/>
    <n v="1"/>
    <s v="DR"/>
    <s v="D"/>
    <s v="Y"/>
    <s v="Y"/>
    <x v="60"/>
    <s v="CHANGSHA, HUNAN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0.67"/>
    <n v="849.7"/>
    <n v="792.45"/>
    <n v="1420.53"/>
    <n v="0"/>
    <n v="0"/>
    <n v="700.67"/>
    <n v="849.7"/>
    <n v="792.45"/>
    <n v="1420.53"/>
    <n v="0"/>
    <n v="0"/>
    <s v="CNCSX"/>
    <n v="250.72"/>
    <n v="102.12177176"/>
    <n v="232.798864232"/>
    <n v="538.43971789700004"/>
    <n v="0"/>
    <n v="0"/>
    <n v="250.72"/>
    <n v="102.12177176"/>
    <n v="232.798864232"/>
    <n v="538.439717897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8D13H"/>
    <n v="897"/>
    <s v="2018-09-29"/>
    <s v="Historical averaged cost."/>
    <n v="99.140680000000003"/>
    <n v="148.71053000000001"/>
    <n v="148.71053000000001"/>
    <n v="179.43451999999999"/>
    <n v="0"/>
    <n v="0"/>
    <n v="230"/>
    <n v="415"/>
    <n v="415"/>
    <n v="49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166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5D21H"/>
    <n v="3"/>
    <s v="DR"/>
    <s v="D"/>
    <s v="Y"/>
    <s v="Y"/>
    <x v="60"/>
    <s v="CHANGSHA, HUNAN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3.42"/>
    <n v="1079.26"/>
    <n v="1021.35"/>
    <n v="1659.31"/>
    <n v="0"/>
    <n v="0"/>
    <n v="863.42"/>
    <n v="1079.26"/>
    <n v="1021.35"/>
    <n v="1659.31"/>
    <n v="0"/>
    <n v="0"/>
    <s v="CNCSX"/>
    <n v="250.72"/>
    <n v="102.12177176"/>
    <n v="232.798864232"/>
    <n v="538.43971789700004"/>
    <n v="0"/>
    <n v="0"/>
    <n v="250.72"/>
    <n v="102.12177176"/>
    <n v="232.798864232"/>
    <n v="538.439717897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4D3H"/>
    <n v="999"/>
    <s v="2018-09-29"/>
    <s v="Historical averaged cost."/>
    <n v="99.140680000000003"/>
    <n v="148.71053000000001"/>
    <n v="148.71053000000001"/>
    <n v="179.43451999999999"/>
    <n v="0"/>
    <n v="0"/>
    <n v="230"/>
    <n v="415"/>
    <n v="415"/>
    <n v="49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166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51D9H"/>
    <n v="1"/>
    <s v="DR"/>
    <s v="D"/>
    <s v="Y"/>
    <s v="Y"/>
    <x v="60"/>
    <s v="CHANGSHA, HUNAN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5.42"/>
    <n v="834.43"/>
    <n v="777.07"/>
    <n v="1436.42"/>
    <n v="0"/>
    <n v="0"/>
    <n v="695.42"/>
    <n v="834.43"/>
    <n v="777.07"/>
    <n v="1436.42"/>
    <n v="0"/>
    <n v="0"/>
    <s v="CNCSX"/>
    <n v="250.72"/>
    <n v="102.12177176"/>
    <n v="232.798864232"/>
    <n v="538.43971789700004"/>
    <n v="0"/>
    <n v="0"/>
    <n v="250.72"/>
    <n v="102.12177176"/>
    <n v="232.798864232"/>
    <n v="538.439717897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9D15H"/>
    <n v="891"/>
    <s v="2018-09-29"/>
    <s v="Historical averaged cost."/>
    <n v="99.140680000000003"/>
    <n v="148.71053000000001"/>
    <n v="148.71053000000001"/>
    <n v="179.43451999999999"/>
    <n v="0"/>
    <n v="0"/>
    <n v="230"/>
    <n v="415"/>
    <n v="415"/>
    <n v="49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166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1D6H"/>
    <n v="3"/>
    <s v="DR"/>
    <s v="D"/>
    <s v="Y"/>
    <s v="Y"/>
    <x v="32"/>
    <s v="CHANG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2.61"/>
    <n v="1089.1199999999999"/>
    <n v="969.31"/>
    <n v="987.62"/>
    <n v="0"/>
    <n v="0"/>
    <n v="832.61"/>
    <n v="1089.1199999999999"/>
    <n v="969.31"/>
    <n v="987.62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49D12H"/>
    <n v="984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05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1D21H"/>
    <n v="3"/>
    <s v="DR"/>
    <s v="D"/>
    <s v="Y"/>
    <s v="Y"/>
    <x v="32"/>
    <s v="CHANG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7.65"/>
    <n v="1107.58"/>
    <n v="987.67"/>
    <n v="1009.55"/>
    <n v="0"/>
    <n v="0"/>
    <n v="787.65"/>
    <n v="1107.58"/>
    <n v="987.67"/>
    <n v="1009.55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0D3H"/>
    <n v="999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05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8D21H"/>
    <n v="1"/>
    <s v="DR"/>
    <s v="D"/>
    <s v="Y"/>
    <s v="Y"/>
    <x v="32"/>
    <s v="CHANG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5.11"/>
    <n v="863.46"/>
    <n v="744.97"/>
    <n v="748.17"/>
    <n v="0"/>
    <n v="0"/>
    <n v="615.11"/>
    <n v="863.46"/>
    <n v="744.97"/>
    <n v="748.17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7D4H"/>
    <n v="716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05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7D9H"/>
    <n v="3"/>
    <s v="DR"/>
    <s v="D"/>
    <s v="Y"/>
    <s v="Y"/>
    <x v="32"/>
    <s v="CHANG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1.64"/>
    <n v="1007.46"/>
    <n v="888.09"/>
    <n v="935.99"/>
    <n v="0"/>
    <n v="0"/>
    <n v="721.64"/>
    <n v="1007.46"/>
    <n v="888.09"/>
    <n v="935.99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05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32"/>
    <s v="CHANG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4.91"/>
    <n v="878.02"/>
    <n v="758.76"/>
    <n v="770.78"/>
    <n v="0"/>
    <n v="0"/>
    <n v="624.91"/>
    <n v="878.02"/>
    <n v="758.76"/>
    <n v="770.78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4D13H"/>
    <n v="89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05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7D9H"/>
    <n v="1"/>
    <s v="DR"/>
    <s v="D"/>
    <s v="Y"/>
    <s v="Y"/>
    <x v="32"/>
    <s v="CHANG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9.65"/>
    <n v="862.75"/>
    <n v="743.39"/>
    <n v="786.66"/>
    <n v="0"/>
    <n v="0"/>
    <n v="619.65"/>
    <n v="862.75"/>
    <n v="743.39"/>
    <n v="786.66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805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TE1)-SGSIN-(MD2)-KRPUS-(AX2)"/>
    <s v="51D15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3.64"/>
    <n v="681.49"/>
    <n v="428.03"/>
    <n v="4640.1099999999997"/>
    <n v="0"/>
    <n v="0"/>
    <n v="423.64"/>
    <n v="681.49"/>
    <n v="428.03"/>
    <n v="4640.109999999999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2"/>
    <m/>
    <m/>
    <s v="S"/>
    <s v="50D3H"/>
    <n v="1155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ACE)-KRPUS-(AX1)"/>
    <s v="49D10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0.22000000000003"/>
    <n v="592.54"/>
    <n v="339.42"/>
    <n v="4521.17"/>
    <n v="0"/>
    <n v="0"/>
    <n v="320.22000000000003"/>
    <n v="592.54"/>
    <n v="339.42"/>
    <n v="4521.1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ACE"/>
    <s v="AX1"/>
    <m/>
    <m/>
    <s v="S"/>
    <s v="47D22H"/>
    <n v="110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96.69705300000001"/>
    <n v="265.27017525000002"/>
    <n v="265.27017525000002"/>
    <n v="271.03683180000002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ACE)-KRPUS-(AX2)"/>
    <s v="51D22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15.27999999999997"/>
    <n v="577.99"/>
    <n v="324.54000000000002"/>
    <n v="4542.3900000000003"/>
    <n v="0"/>
    <n v="0"/>
    <n v="315.27999999999997"/>
    <n v="577.99"/>
    <n v="324.54000000000002"/>
    <n v="4542.3900000000003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ACE"/>
    <s v="AX2"/>
    <m/>
    <m/>
    <s v="S"/>
    <s v="50D10H"/>
    <n v="116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94.21835999999999"/>
    <n v="261.82528194999998"/>
    <n v="261.82528194999998"/>
    <n v="269.9039364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ACE)-KRPUS-(AX3)"/>
    <s v="55D19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0.02"/>
    <n v="607.1"/>
    <n v="353.21"/>
    <n v="4543.78"/>
    <n v="0"/>
    <n v="0"/>
    <n v="330.02"/>
    <n v="607.1"/>
    <n v="353.21"/>
    <n v="4543.78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ACE"/>
    <s v="AX3"/>
    <m/>
    <m/>
    <s v="S"/>
    <s v="54D7H"/>
    <n v="1255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96.69705300000001"/>
    <n v="265.27017525000002"/>
    <n v="265.27017525000002"/>
    <n v="271.03683180000002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NX2)-KRPUS-(AX3)"/>
    <s v="57D21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8.02"/>
    <n v="641.22"/>
    <n v="387.11"/>
    <n v="4574.4399999999996"/>
    <n v="0"/>
    <n v="0"/>
    <n v="388.02"/>
    <n v="641.22"/>
    <n v="387.11"/>
    <n v="4574.43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3"/>
    <m/>
    <m/>
    <s v="S"/>
    <s v="56D9H"/>
    <n v="13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2)-KRPUS-(AX3)"/>
    <s v="57D21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8.02"/>
    <n v="641.22"/>
    <n v="387.11"/>
    <n v="4574.4399999999996"/>
    <n v="0"/>
    <n v="0"/>
    <n v="388.02"/>
    <n v="641.22"/>
    <n v="387.11"/>
    <n v="4574.43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3"/>
    <m/>
    <m/>
    <s v="S"/>
    <s v="56D9H"/>
    <n v="13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1)-KRPUS-(AX3)"/>
    <s v="57D21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8.02"/>
    <n v="641.22"/>
    <n v="387.11"/>
    <n v="4574.4399999999996"/>
    <n v="0"/>
    <n v="0"/>
    <n v="388.02"/>
    <n v="641.22"/>
    <n v="387.11"/>
    <n v="4574.43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3"/>
    <m/>
    <m/>
    <s v="S"/>
    <s v="56D9H"/>
    <n v="13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CSW)-KRPUS-(AX3)"/>
    <s v="57D21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8.7"/>
    <n v="711.31"/>
    <n v="457.2"/>
    <n v="4646.84"/>
    <n v="0"/>
    <n v="0"/>
    <n v="438.7"/>
    <n v="711.31"/>
    <n v="457.2"/>
    <n v="4646.8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3"/>
    <m/>
    <m/>
    <s v="S"/>
    <s v="56D9H"/>
    <n v="13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AGX)-KRPUS-(AX3)"/>
    <s v="57D21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8.02"/>
    <n v="641.22"/>
    <n v="387.11"/>
    <n v="4574.4399999999996"/>
    <n v="0"/>
    <n v="0"/>
    <n v="388.02"/>
    <n v="641.22"/>
    <n v="387.11"/>
    <n v="4574.43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3"/>
    <m/>
    <m/>
    <s v="S"/>
    <s v="56D9H"/>
    <n v="13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NX2)-KRPUS-(AX2)"/>
    <s v="54D0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6.44"/>
    <n v="685.65"/>
    <n v="431.97"/>
    <n v="4646.57"/>
    <n v="0"/>
    <n v="0"/>
    <n v="426.44"/>
    <n v="685.65"/>
    <n v="431.97"/>
    <n v="4646.5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2"/>
    <m/>
    <m/>
    <s v="S"/>
    <s v="52D12H"/>
    <n v="12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MD3)-KRPUS-(AX2)"/>
    <s v="54D0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6.44"/>
    <n v="685.65"/>
    <n v="431.97"/>
    <n v="4646.57"/>
    <n v="0"/>
    <n v="0"/>
    <n v="426.44"/>
    <n v="685.65"/>
    <n v="431.97"/>
    <n v="4646.5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2"/>
    <m/>
    <m/>
    <s v="S"/>
    <s v="52D12H"/>
    <n v="12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MD2)-KRPUS-(AX2)"/>
    <s v="54D0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6.44"/>
    <n v="685.65"/>
    <n v="431.97"/>
    <n v="4646.57"/>
    <n v="0"/>
    <n v="0"/>
    <n v="426.44"/>
    <n v="685.65"/>
    <n v="431.97"/>
    <n v="4646.5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2"/>
    <m/>
    <m/>
    <s v="S"/>
    <s v="52D12H"/>
    <n v="12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MD1)-KRPUS-(AX2)"/>
    <s v="54D0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6.44"/>
    <n v="685.65"/>
    <n v="431.97"/>
    <n v="4646.57"/>
    <n v="0"/>
    <n v="0"/>
    <n v="426.44"/>
    <n v="685.65"/>
    <n v="431.97"/>
    <n v="4646.5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2"/>
    <m/>
    <m/>
    <s v="S"/>
    <s v="52D12H"/>
    <n v="12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CSW)-KRPUS-(AX2)"/>
    <s v="54D0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4.08"/>
    <n v="613.26"/>
    <n v="359.59"/>
    <n v="4576.5"/>
    <n v="0"/>
    <n v="0"/>
    <n v="374.08"/>
    <n v="613.26"/>
    <n v="359.59"/>
    <n v="4576.5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2"/>
    <m/>
    <m/>
    <s v="S"/>
    <s v="52D12H"/>
    <n v="12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AR1)-KRPUS-(AX2)"/>
    <s v="54D0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6.44"/>
    <n v="685.65"/>
    <n v="431.97"/>
    <n v="4646.57"/>
    <n v="0"/>
    <n v="0"/>
    <n v="426.44"/>
    <n v="685.65"/>
    <n v="431.97"/>
    <n v="4646.5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2"/>
    <m/>
    <m/>
    <s v="S"/>
    <s v="52D12H"/>
    <n v="12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4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2)-SGSIN-(AGX)-KRPUS-(AX2)"/>
    <s v="54D0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6.44"/>
    <n v="685.65"/>
    <n v="431.97"/>
    <n v="4646.57"/>
    <n v="0"/>
    <n v="0"/>
    <n v="426.44"/>
    <n v="685.65"/>
    <n v="431.97"/>
    <n v="4646.5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2"/>
    <m/>
    <m/>
    <s v="S"/>
    <s v="52D12H"/>
    <n v="12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2)-SGSIN-(MD3)-KRPUS-(AX1)"/>
    <s v="58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9.42"/>
    <n v="643.29999999999995"/>
    <n v="389.08"/>
    <n v="4577.67"/>
    <n v="0"/>
    <n v="0"/>
    <n v="389.42"/>
    <n v="643.29999999999995"/>
    <n v="389.08"/>
    <n v="4577.6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1"/>
    <m/>
    <m/>
    <s v="S"/>
    <s v="57D0H"/>
    <n v="1331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2)-SGSIN-(MD1)-KRPUS-(AX1)"/>
    <s v="51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9.62"/>
    <n v="628.74"/>
    <n v="375.29"/>
    <n v="4555.0600000000004"/>
    <n v="0"/>
    <n v="0"/>
    <n v="379.62"/>
    <n v="628.74"/>
    <n v="375.29"/>
    <n v="4555.06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1"/>
    <m/>
    <m/>
    <s v="S"/>
    <s v="50D0H"/>
    <n v="11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2)-SGSIN-(CSW)-KRPUS-(AX1)"/>
    <s v="51D12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0.3"/>
    <n v="698.83"/>
    <n v="445.38"/>
    <n v="4627.46"/>
    <n v="0"/>
    <n v="0"/>
    <n v="430.3"/>
    <n v="698.83"/>
    <n v="445.38"/>
    <n v="4627.4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1"/>
    <m/>
    <m/>
    <s v="S"/>
    <s v="50D0H"/>
    <n v="11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2)-SGSIN-(AR1)-KRPUS-(AX1)"/>
    <s v="51D12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9.62"/>
    <n v="628.74"/>
    <n v="375.29"/>
    <n v="4555.0600000000004"/>
    <n v="0"/>
    <n v="0"/>
    <n v="379.62"/>
    <n v="628.74"/>
    <n v="375.29"/>
    <n v="4555.06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1"/>
    <m/>
    <m/>
    <s v="S"/>
    <s v="50D0H"/>
    <n v="11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2)-SGSIN-(AGX)-KRPUS-(AX1)"/>
    <s v="51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9.62"/>
    <n v="628.74"/>
    <n v="375.29"/>
    <n v="4555.0600000000004"/>
    <n v="0"/>
    <n v="0"/>
    <n v="379.62"/>
    <n v="628.74"/>
    <n v="375.29"/>
    <n v="4555.06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1"/>
    <m/>
    <m/>
    <s v="S"/>
    <s v="50D0H"/>
    <n v="11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NX2)-KRPUS-(AX3)"/>
    <s v="55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22"/>
    <n v="637.05999999999995"/>
    <n v="383.17"/>
    <n v="4567.9799999999996"/>
    <n v="0"/>
    <n v="0"/>
    <n v="385.22"/>
    <n v="637.05999999999995"/>
    <n v="383.17"/>
    <n v="4567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3"/>
    <m/>
    <m/>
    <s v="S"/>
    <s v="54D0H"/>
    <n v="1248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3)-KRPUS-(AX3)"/>
    <s v="55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22"/>
    <n v="637.05999999999995"/>
    <n v="383.17"/>
    <n v="4567.9799999999996"/>
    <n v="0"/>
    <n v="0"/>
    <n v="385.22"/>
    <n v="637.05999999999995"/>
    <n v="383.17"/>
    <n v="4567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3"/>
    <m/>
    <m/>
    <s v="S"/>
    <s v="54D0H"/>
    <n v="1248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2)-KRPUS-(AX3)"/>
    <s v="55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22"/>
    <n v="637.05999999999995"/>
    <n v="383.17"/>
    <n v="4567.9799999999996"/>
    <n v="0"/>
    <n v="0"/>
    <n v="385.22"/>
    <n v="637.05999999999995"/>
    <n v="383.17"/>
    <n v="4567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3"/>
    <m/>
    <m/>
    <s v="S"/>
    <s v="54D0H"/>
    <n v="1248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1)-KRPUS-(AX3)"/>
    <s v="62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06.82"/>
    <n v="520.58000000000004"/>
    <n v="272.85000000000002"/>
    <n v="4387.1000000000004"/>
    <n v="0"/>
    <n v="0"/>
    <n v="306.82"/>
    <n v="520.58000000000004"/>
    <n v="272.85000000000002"/>
    <n v="4387.10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3"/>
    <m/>
    <m/>
    <s v="S"/>
    <s v="61D0H"/>
    <n v="14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CSW)-KRPUS-(AX3)"/>
    <s v="62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7.5"/>
    <n v="590.66999999999996"/>
    <n v="342.94"/>
    <n v="4459.5"/>
    <n v="0"/>
    <n v="0"/>
    <n v="357.5"/>
    <n v="590.66999999999996"/>
    <n v="342.94"/>
    <n v="4459.5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3"/>
    <m/>
    <m/>
    <s v="S"/>
    <s v="61D0H"/>
    <n v="14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AR1)-KRPUS-(AX3)"/>
    <s v="55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22"/>
    <n v="637.05999999999995"/>
    <n v="383.17"/>
    <n v="4567.9799999999996"/>
    <n v="0"/>
    <n v="0"/>
    <n v="385.22"/>
    <n v="637.05999999999995"/>
    <n v="383.17"/>
    <n v="4567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3"/>
    <m/>
    <m/>
    <s v="S"/>
    <s v="54D0H"/>
    <n v="1248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AGX)-KRPUS-(AX3)"/>
    <s v="62D12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06.82"/>
    <n v="520.58000000000004"/>
    <n v="272.85000000000002"/>
    <n v="4387.1000000000004"/>
    <n v="0"/>
    <n v="0"/>
    <n v="306.82"/>
    <n v="520.58000000000004"/>
    <n v="272.85000000000002"/>
    <n v="4387.10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3"/>
    <m/>
    <m/>
    <s v="S"/>
    <s v="61D0H"/>
    <n v="14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NX2)-KRPUS-(AX2)"/>
    <s v="51D15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3.64"/>
    <n v="681.49"/>
    <n v="428.03"/>
    <n v="4640.1099999999997"/>
    <n v="0"/>
    <n v="0"/>
    <n v="423.64"/>
    <n v="681.49"/>
    <n v="428.03"/>
    <n v="4640.109999999999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2"/>
    <m/>
    <m/>
    <s v="S"/>
    <s v="50D3H"/>
    <n v="1155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MD3)-KRPUS-(AX2)"/>
    <s v="51D15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3.64"/>
    <n v="681.49"/>
    <n v="428.03"/>
    <n v="4640.1099999999997"/>
    <n v="0"/>
    <n v="0"/>
    <n v="423.64"/>
    <n v="681.49"/>
    <n v="428.03"/>
    <n v="4640.109999999999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2"/>
    <m/>
    <m/>
    <s v="S"/>
    <s v="50D3H"/>
    <n v="1155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MD1)-KRPUS-(AX2)"/>
    <s v="58D15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3.44"/>
    <n v="696.05"/>
    <n v="441.82"/>
    <n v="4662.72"/>
    <n v="0"/>
    <n v="0"/>
    <n v="433.44"/>
    <n v="696.05"/>
    <n v="441.82"/>
    <n v="4662.72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2"/>
    <m/>
    <m/>
    <s v="S"/>
    <s v="57D3H"/>
    <n v="13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CSW)-KRPUS-(AX2)"/>
    <s v="58D15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1.08"/>
    <n v="623.66"/>
    <n v="369.44"/>
    <n v="4592.6499999999996"/>
    <n v="0"/>
    <n v="0"/>
    <n v="381.08"/>
    <n v="623.66"/>
    <n v="369.44"/>
    <n v="4592.64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2"/>
    <m/>
    <m/>
    <s v="S"/>
    <s v="57D3H"/>
    <n v="13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AR1)-KRPUS-(AX2)"/>
    <s v="51D15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3.64"/>
    <n v="681.49"/>
    <n v="428.03"/>
    <n v="4640.1099999999997"/>
    <n v="0"/>
    <n v="0"/>
    <n v="423.64"/>
    <n v="681.49"/>
    <n v="428.03"/>
    <n v="4640.109999999999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2"/>
    <m/>
    <m/>
    <s v="S"/>
    <s v="50D3H"/>
    <n v="1155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3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2"/>
    <s v="E"/>
    <s v="(TE1)-SGSIN-(AGX)-KRPUS-(AX2)"/>
    <s v="58D15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3.44"/>
    <n v="696.05"/>
    <n v="441.82"/>
    <n v="4662.72"/>
    <n v="0"/>
    <n v="0"/>
    <n v="433.44"/>
    <n v="696.05"/>
    <n v="441.82"/>
    <n v="4662.72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2"/>
    <m/>
    <m/>
    <s v="S"/>
    <s v="57D3H"/>
    <n v="132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1)-SGSIN-(NX2)-KRPUS-(AX1)"/>
    <s v="49D3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5.42"/>
    <n v="622.5"/>
    <n v="369.38"/>
    <n v="4545.37"/>
    <n v="0"/>
    <n v="0"/>
    <n v="375.42"/>
    <n v="622.5"/>
    <n v="369.38"/>
    <n v="4545.3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1"/>
    <m/>
    <m/>
    <s v="S"/>
    <s v="47D15H"/>
    <n v="1095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1)-SGSIN-(MD3)-KRPUS-(AX1)"/>
    <s v="56D3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22"/>
    <n v="637.05999999999995"/>
    <n v="383.17"/>
    <n v="4567.9799999999996"/>
    <n v="0"/>
    <n v="0"/>
    <n v="385.22"/>
    <n v="637.05999999999995"/>
    <n v="383.17"/>
    <n v="4567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1"/>
    <m/>
    <m/>
    <s v="S"/>
    <s v="54D15H"/>
    <n v="12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1)-SGSIN-(MD1)-KRPUS-(AX1)"/>
    <s v="56D3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22"/>
    <n v="637.05999999999995"/>
    <n v="383.17"/>
    <n v="4567.9799999999996"/>
    <n v="0"/>
    <n v="0"/>
    <n v="385.22"/>
    <n v="637.05999999999995"/>
    <n v="383.17"/>
    <n v="4567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1"/>
    <m/>
    <m/>
    <s v="S"/>
    <s v="54D15H"/>
    <n v="12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1)-SGSIN-(CSW)-KRPUS-(AX1)"/>
    <s v="56D3H"/>
    <n v="1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5.9"/>
    <n v="707.15"/>
    <n v="453.26"/>
    <n v="4640.38"/>
    <n v="0"/>
    <n v="0"/>
    <n v="435.9"/>
    <n v="707.15"/>
    <n v="453.26"/>
    <n v="4640.38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1"/>
    <m/>
    <m/>
    <s v="S"/>
    <s v="54D15H"/>
    <n v="12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1)-SGSIN-(AR1)-KRPUS-(AX1)"/>
    <s v="49D3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5.42"/>
    <n v="622.5"/>
    <n v="369.38"/>
    <n v="4545.37"/>
    <n v="0"/>
    <n v="0"/>
    <n v="375.42"/>
    <n v="622.5"/>
    <n v="369.38"/>
    <n v="4545.3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1"/>
    <m/>
    <m/>
    <s v="S"/>
    <s v="47D15H"/>
    <n v="1095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4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TE1)-SGSIN-(AGX)-KRPUS-(AX1)"/>
    <s v="56D3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22"/>
    <n v="637.05999999999995"/>
    <n v="383.17"/>
    <n v="4567.9799999999996"/>
    <n v="0"/>
    <n v="0"/>
    <n v="385.22"/>
    <n v="637.05999999999995"/>
    <n v="383.17"/>
    <n v="4567.97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1"/>
    <s v="AX1"/>
    <m/>
    <m/>
    <s v="S"/>
    <s v="54D15H"/>
    <n v="1263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3)-KRPUS-(AX3)"/>
    <s v="57D21H"/>
    <n v="2"/>
    <s v="DR"/>
    <s v="D"/>
    <s v="Y"/>
    <s v="Y"/>
    <x v="33"/>
    <s v="CHENNAI"/>
    <x v="1"/>
    <s v="CHENN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8.02"/>
    <n v="641.22"/>
    <n v="387.11"/>
    <n v="4574.4399999999996"/>
    <n v="0"/>
    <n v="0"/>
    <n v="388.02"/>
    <n v="641.22"/>
    <n v="387.11"/>
    <n v="4574.4399999999996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8.53"/>
    <n v="601.13"/>
    <n v="601.13"/>
    <n v="0"/>
    <n v="0"/>
    <n v="0"/>
    <m/>
    <m/>
    <m/>
    <m/>
    <m/>
    <m/>
    <m/>
    <m/>
    <m/>
    <m/>
    <m/>
    <m/>
    <s v="TE2"/>
    <s v="AX3"/>
    <m/>
    <m/>
    <s v="S"/>
    <s v="56D9H"/>
    <n v="1316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731002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9"/>
    <x v="18"/>
    <x v="18"/>
    <x v="0"/>
    <x v="0"/>
    <x v="0"/>
    <m/>
    <m/>
    <m/>
    <m/>
    <m/>
    <m/>
  </r>
  <r>
    <s v="LW"/>
    <s v="LWE"/>
    <s v="LWT"/>
    <s v="LW"/>
    <s v="AX1"/>
    <s v="E"/>
    <s v="(BAS)-SGSIN-(CSW)-KRPUS-(AX1)"/>
    <s v="56D6H"/>
    <n v="1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4"/>
    <n v="683.15"/>
    <n v="875.46"/>
    <n v="1094.19"/>
    <n v="0"/>
    <n v="0"/>
    <n v="404"/>
    <n v="683.15"/>
    <n v="875.46"/>
    <n v="1094.19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1"/>
    <m/>
    <m/>
    <s v="S"/>
    <s v="54D18H"/>
    <n v="1227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1"/>
    <s v="E"/>
    <s v="(BAS)-SGSIN-(MD2)-KRPUS-(AX1)"/>
    <s v="49D6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3.52"/>
    <n v="598.5"/>
    <n v="791.59"/>
    <n v="999.18"/>
    <n v="0"/>
    <n v="0"/>
    <n v="343.52"/>
    <n v="598.5"/>
    <n v="791.59"/>
    <n v="999.18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1"/>
    <m/>
    <m/>
    <s v="S"/>
    <s v="47D18H"/>
    <n v="1059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8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1"/>
    <s v="E"/>
    <s v="(BAS)-SGSIN-(NX2)-KRPUS-(AX1)"/>
    <s v="49D6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3.52"/>
    <n v="598.5"/>
    <n v="791.59"/>
    <n v="999.18"/>
    <n v="0"/>
    <n v="0"/>
    <n v="343.52"/>
    <n v="598.5"/>
    <n v="791.59"/>
    <n v="999.18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1"/>
    <m/>
    <m/>
    <s v="S"/>
    <s v="47D18H"/>
    <n v="1059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10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3"/>
    <s v="E"/>
    <s v="(BAS)-SGSIN-(CSW)-KRPUS-(AX3)"/>
    <s v="62D15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5.60000000000002"/>
    <n v="566.66999999999996"/>
    <n v="765.14"/>
    <n v="913.31"/>
    <n v="0"/>
    <n v="0"/>
    <n v="325.60000000000002"/>
    <n v="566.66999999999996"/>
    <n v="765.14"/>
    <n v="913.31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3"/>
    <m/>
    <m/>
    <s v="S"/>
    <s v="61D3H"/>
    <n v="1380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2"/>
    <s v="E"/>
    <s v="(BAS)-SGSIN-(CSW)-KRPUS-(AX2)"/>
    <s v="58D18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9.19"/>
    <n v="599.66"/>
    <n v="791.64"/>
    <n v="1046.46"/>
    <n v="0"/>
    <n v="0"/>
    <n v="349.19"/>
    <n v="599.66"/>
    <n v="791.64"/>
    <n v="1046.46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2"/>
    <m/>
    <m/>
    <s v="S"/>
    <s v="57D6H"/>
    <n v="1287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50.21932314"/>
    <n v="292.93399113999999"/>
    <n v="292.93399113999999"/>
    <n v="297.55798714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2"/>
    <s v="E"/>
    <s v="(BAS)-SGSIN-(AGX)-KRPUS-(AX2)"/>
    <s v="58D18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1.54"/>
    <n v="672.04"/>
    <n v="864.03"/>
    <n v="1116.54"/>
    <n v="0"/>
    <n v="0"/>
    <n v="401.54"/>
    <n v="672.04"/>
    <n v="864.03"/>
    <n v="1116.54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2"/>
    <m/>
    <m/>
    <s v="S"/>
    <s v="57D6H"/>
    <n v="1287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2"/>
    <s v="E"/>
    <s v="(9SX)-SGSIN-(CSW)-KRPUS-(AX2)"/>
    <s v="61D18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7.12"/>
    <n v="647.48"/>
    <n v="845.95"/>
    <n v="1061.43"/>
    <n v="0"/>
    <n v="0"/>
    <n v="337.12"/>
    <n v="647.48"/>
    <n v="845.95"/>
    <n v="1061.43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9SX"/>
    <s v="AX2"/>
    <m/>
    <m/>
    <s v="S"/>
    <s v="60D7H"/>
    <n v="1361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75.75882557"/>
    <n v="218.47349356999999"/>
    <n v="218.47349356999999"/>
    <n v="223.09748956999999"/>
    <n v="0"/>
    <n v="0"/>
    <n v="145"/>
    <n v="245"/>
    <n v="245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2"/>
    <s v="E"/>
    <s v="(9SX)-SGSIN-(AGX)-KRPUS-(AX2)"/>
    <s v="61D18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9.48"/>
    <n v="719.86"/>
    <n v="918.34"/>
    <n v="1131.51"/>
    <n v="0"/>
    <n v="0"/>
    <n v="389.48"/>
    <n v="719.86"/>
    <n v="918.34"/>
    <n v="1131.51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9SX"/>
    <s v="AX2"/>
    <m/>
    <m/>
    <s v="S"/>
    <s v="60D7H"/>
    <n v="1361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28.11596857000001"/>
    <n v="290.85798686999999"/>
    <n v="290.85798686999999"/>
    <n v="293.16998487000001"/>
    <n v="0"/>
    <n v="0"/>
    <n v="145"/>
    <n v="245"/>
    <n v="245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1"/>
    <s v="E"/>
    <s v="(BAS)-SGSIN-(AGX)-KRPUS-(AX1)"/>
    <s v="56D6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3.32"/>
    <n v="613.05999999999995"/>
    <n v="805.38"/>
    <n v="1021.79"/>
    <n v="0"/>
    <n v="0"/>
    <n v="353.32"/>
    <n v="613.05999999999995"/>
    <n v="805.38"/>
    <n v="1021.79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1"/>
    <m/>
    <m/>
    <s v="S"/>
    <s v="54D18H"/>
    <n v="1227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1"/>
    <s v="E"/>
    <s v="(BAS)-SGSIN-(AR1)-KRPUS-(AX1)"/>
    <s v="49D6H"/>
    <n v="2"/>
    <s v="DR"/>
    <s v="D"/>
    <s v="Y"/>
    <s v="Y"/>
    <x v="1"/>
    <s v="CHITTAGONG"/>
    <x v="2"/>
    <s v="CHITTAG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3.52"/>
    <n v="598.5"/>
    <n v="791.59"/>
    <n v="999.18"/>
    <n v="0"/>
    <n v="0"/>
    <n v="343.52"/>
    <n v="598.5"/>
    <n v="791.59"/>
    <n v="999.18"/>
    <n v="0"/>
    <n v="0"/>
    <s v="BDCGP"/>
    <n v="-95.882173162000001"/>
    <n v="16.486672984999998"/>
    <n v="384.36834512299998"/>
    <n v="381.50854065300001"/>
    <n v="0"/>
    <n v="0"/>
    <n v="-95.882173162000001"/>
    <n v="16.486672984999998"/>
    <n v="384.36834512299998"/>
    <n v="381.50854065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9.91"/>
    <n v="606.91"/>
    <n v="646.91"/>
    <n v="0"/>
    <n v="0"/>
    <n v="0"/>
    <m/>
    <m/>
    <m/>
    <m/>
    <m/>
    <m/>
    <m/>
    <m/>
    <m/>
    <m/>
    <m/>
    <m/>
    <s v="BAS"/>
    <s v="AX1"/>
    <m/>
    <m/>
    <s v="S"/>
    <s v="47D18H"/>
    <n v="1059"/>
    <s v="2018-09-29"/>
    <s v="Historical averaged cost."/>
    <n v="68.090999999999994"/>
    <n v="104.997"/>
    <n v="118.017"/>
    <n v="118.01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2130009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"/>
    <x v="1"/>
    <n v="6"/>
    <x v="3"/>
    <x v="3"/>
    <x v="3"/>
    <x v="1"/>
    <x v="1"/>
    <x v="1"/>
    <x v="0"/>
    <x v="0"/>
    <x v="0"/>
    <m/>
    <m/>
    <m/>
    <n v="11.90728936868385"/>
    <n v="11.90728936868385"/>
    <n v="11.90728936868385"/>
  </r>
  <r>
    <s v="LW"/>
    <s v="LWE"/>
    <s v="LWT"/>
    <s v="LW"/>
    <s v="AX1"/>
    <s v="E"/>
    <s v="(AX1)-KRPUS-(AX1)"/>
    <s v="43D21H"/>
    <n v="3"/>
    <s v="DR"/>
    <s v="D"/>
    <s v="Y"/>
    <s v="Y"/>
    <x v="2"/>
    <s v="CHONGQING, CHONGQI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0.09"/>
    <n v="1766.02"/>
    <n v="1597.98"/>
    <n v="4531.28"/>
    <n v="0"/>
    <n v="0"/>
    <n v="880.09"/>
    <n v="1766.02"/>
    <n v="1597.98"/>
    <n v="4531.28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R"/>
    <m/>
    <s v="T"/>
    <s v="42D3H"/>
    <n v="837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52D6H"/>
    <n v="1"/>
    <s v="DR"/>
    <s v="D"/>
    <s v="Y"/>
    <s v="Y"/>
    <x v="2"/>
    <s v="CHONGQING, CHONGQING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7.12"/>
    <n v="1533.7"/>
    <n v="1364.79"/>
    <n v="4416.3900000000003"/>
    <n v="0"/>
    <n v="0"/>
    <n v="567.12"/>
    <n v="1533.7"/>
    <n v="1364.79"/>
    <n v="4416.3900000000003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50D13H"/>
    <n v="897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53D9H"/>
    <n v="3"/>
    <s v="DR"/>
    <s v="D"/>
    <s v="Y"/>
    <s v="Y"/>
    <x v="2"/>
    <s v="CHONGQING, CHONGQING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3.85"/>
    <n v="1663.14"/>
    <n v="1494.12"/>
    <n v="4581.6000000000004"/>
    <n v="0"/>
    <n v="0"/>
    <n v="663.85"/>
    <n v="1663.14"/>
    <n v="1494.12"/>
    <n v="4581.600000000000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51D15H"/>
    <n v="891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1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7D21H"/>
    <n v="3"/>
    <s v="DR"/>
    <s v="D"/>
    <s v="Y"/>
    <s v="Y"/>
    <x v="2"/>
    <s v="CHONGQING, CHONGQING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9.87"/>
    <n v="1763.27"/>
    <n v="1593.7"/>
    <n v="4655.17"/>
    <n v="0"/>
    <n v="0"/>
    <n v="729.87"/>
    <n v="1763.27"/>
    <n v="1593.7"/>
    <n v="4655.17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6D3H"/>
    <n v="999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1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7D6H"/>
    <n v="1"/>
    <s v="DR"/>
    <s v="D"/>
    <s v="Y"/>
    <s v="Y"/>
    <x v="2"/>
    <s v="CHONGQING, CHONGQI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0.62"/>
    <n v="1625.26"/>
    <n v="1456.89"/>
    <n v="4393.97"/>
    <n v="0"/>
    <n v="0"/>
    <n v="780.62"/>
    <n v="1625.26"/>
    <n v="1456.89"/>
    <n v="4393.97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R"/>
    <m/>
    <s v="S"/>
    <s v="45D12H"/>
    <n v="927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53D9H"/>
    <n v="1"/>
    <s v="DR"/>
    <s v="D"/>
    <s v="Y"/>
    <s v="Y"/>
    <x v="2"/>
    <s v="CHONGQING, CHONGQING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1.86"/>
    <n v="1518.44"/>
    <n v="1349.42"/>
    <n v="4432.28"/>
    <n v="0"/>
    <n v="0"/>
    <n v="561.86"/>
    <n v="1518.44"/>
    <n v="1349.42"/>
    <n v="4432.28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51D15H"/>
    <n v="891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6D21H"/>
    <n v="1"/>
    <s v="DR"/>
    <s v="D"/>
    <s v="Y"/>
    <s v="Y"/>
    <x v="2"/>
    <s v="CHONGQING, CHONGQI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9.96"/>
    <n v="1587.11"/>
    <n v="1419.85"/>
    <n v="4374.32"/>
    <n v="0"/>
    <n v="0"/>
    <n v="759.96"/>
    <n v="1587.11"/>
    <n v="1419.85"/>
    <n v="4374.32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R"/>
    <m/>
    <s v="S"/>
    <s v="35D3H"/>
    <n v="692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3)-KRPUS-(AX2)"/>
    <s v="57D9H"/>
    <n v="3"/>
    <s v="DR"/>
    <s v="D"/>
    <s v="Y"/>
    <s v="Y"/>
    <x v="2"/>
    <s v="CHONGQING, CHONGQI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42.31"/>
    <n v="1845.8"/>
    <n v="1676.34"/>
    <n v="4658.32"/>
    <n v="0"/>
    <n v="0"/>
    <n v="942.31"/>
    <n v="1845.8"/>
    <n v="1676.34"/>
    <n v="4658.32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2"/>
    <s v="R"/>
    <m/>
    <s v="T"/>
    <s v="55D15H"/>
    <n v="1170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47D21H"/>
    <n v="3"/>
    <s v="DR"/>
    <s v="D"/>
    <s v="Y"/>
    <s v="Y"/>
    <x v="2"/>
    <s v="CHONGQING, CHONGQI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5.69"/>
    <n v="1774.34"/>
    <n v="1605.86"/>
    <n v="4544.2"/>
    <n v="0"/>
    <n v="0"/>
    <n v="885.69"/>
    <n v="1774.34"/>
    <n v="1605.86"/>
    <n v="4544.2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1"/>
    <s v="R"/>
    <m/>
    <s v="T"/>
    <s v="46D3H"/>
    <n v="942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7D6H"/>
    <n v="3"/>
    <s v="DR"/>
    <s v="D"/>
    <s v="Y"/>
    <s v="Y"/>
    <x v="2"/>
    <s v="CHONGQING, CHONGQING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4.82"/>
    <n v="1744.8"/>
    <n v="1575.34"/>
    <n v="4633.24"/>
    <n v="0"/>
    <n v="0"/>
    <n v="774.82"/>
    <n v="1744.8"/>
    <n v="1575.34"/>
    <n v="4633.2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55D12H"/>
    <n v="984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1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4D21H"/>
    <n v="1"/>
    <s v="DR"/>
    <s v="D"/>
    <s v="Y"/>
    <s v="Y"/>
    <x v="2"/>
    <s v="CHONGQING, CHONGQING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7.32000000000005"/>
    <n v="1519.14"/>
    <n v="1351"/>
    <n v="4393.78"/>
    <n v="0"/>
    <n v="0"/>
    <n v="557.32000000000005"/>
    <n v="1519.14"/>
    <n v="1351"/>
    <n v="4393.78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43D4H"/>
    <n v="716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6D21H"/>
    <n v="1"/>
    <s v="DR"/>
    <s v="D"/>
    <s v="Y"/>
    <s v="Y"/>
    <x v="2"/>
    <s v="CHONGQING, CHONGQI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6.62"/>
    <n v="1604.46"/>
    <n v="1437.19"/>
    <n v="4361.67"/>
    <n v="0"/>
    <n v="0"/>
    <n v="766.62"/>
    <n v="1604.46"/>
    <n v="1437.19"/>
    <n v="4361.67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R"/>
    <m/>
    <s v="S"/>
    <s v="35D3H"/>
    <n v="669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26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9IW)-LKCMB-(PM2)-HKHKG-(AX1)"/>
    <s v="71D8H"/>
    <n v="2"/>
    <s v="DR"/>
    <s v="D"/>
    <s v="Y"/>
    <s v="Y"/>
    <x v="61"/>
    <s v="COCHIN"/>
    <x v="35"/>
    <s v="COCH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6.21"/>
    <n v="904.53"/>
    <n v="588.91"/>
    <n v="4706.97"/>
    <n v="0"/>
    <n v="0"/>
    <n v="516.21"/>
    <n v="904.53"/>
    <n v="588.91"/>
    <n v="4706.97"/>
    <n v="0"/>
    <n v="0"/>
    <s v="INCOK"/>
    <n v="27.227222455"/>
    <n v="149.91667298499999"/>
    <n v="16.726013465000001"/>
    <n v="4015.506020588"/>
    <n v="0"/>
    <n v="0"/>
    <n v="27.227222455"/>
    <n v="149.91667298499999"/>
    <n v="16.726013465000001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6.55"/>
    <n v="686.57"/>
    <n v="686.57"/>
    <n v="0"/>
    <n v="0"/>
    <n v="0"/>
    <m/>
    <m/>
    <m/>
    <m/>
    <m/>
    <m/>
    <m/>
    <m/>
    <m/>
    <m/>
    <m/>
    <m/>
    <s v="9IW"/>
    <s v="AX1"/>
    <m/>
    <m/>
    <s v="S"/>
    <s v="69D20H"/>
    <n v="1648"/>
    <s v="2018-09-29"/>
    <s v="Historical averaged cost."/>
    <n v="122.9344"/>
    <n v="162.51246"/>
    <n v="162.51246"/>
    <n v="67.45300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60.23102975"/>
    <n v="402.23654462000002"/>
    <n v="402.23654462000002"/>
    <n v="467.85982926000003"/>
    <n v="0"/>
    <n v="0"/>
    <n v="55"/>
    <n v="110"/>
    <n v="110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4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2"/>
    <x v="24"/>
    <x v="24"/>
    <x v="0"/>
    <x v="0"/>
    <x v="0"/>
    <m/>
    <m/>
    <m/>
    <m/>
    <m/>
    <m/>
  </r>
  <r>
    <s v="LW"/>
    <s v="LWE"/>
    <s v="LWT"/>
    <s v="LW"/>
    <s v="AX2"/>
    <s v="E"/>
    <s v="(9IW)-LKCMB-(PM2)-HKHKG-(AX2)"/>
    <s v="66D20H"/>
    <n v="2"/>
    <s v="DR"/>
    <s v="D"/>
    <s v="Y"/>
    <s v="Y"/>
    <x v="61"/>
    <s v="COCHIN"/>
    <x v="35"/>
    <s v="COCH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9.55"/>
    <n v="887.19"/>
    <n v="571.57000000000005"/>
    <n v="4719.63"/>
    <n v="0"/>
    <n v="0"/>
    <n v="509.55"/>
    <n v="887.19"/>
    <n v="571.57000000000005"/>
    <n v="4719.63"/>
    <n v="0"/>
    <n v="0"/>
    <s v="INCOK"/>
    <n v="27.227222455"/>
    <n v="149.91667298499999"/>
    <n v="16.726013465000001"/>
    <n v="4015.506020588"/>
    <n v="0"/>
    <n v="0"/>
    <n v="27.227222455"/>
    <n v="149.91667298499999"/>
    <n v="16.726013465000001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6.55"/>
    <n v="686.57"/>
    <n v="686.57"/>
    <n v="0"/>
    <n v="0"/>
    <n v="0"/>
    <m/>
    <m/>
    <m/>
    <m/>
    <m/>
    <m/>
    <m/>
    <m/>
    <m/>
    <m/>
    <m/>
    <m/>
    <s v="9IW"/>
    <s v="AX2"/>
    <m/>
    <m/>
    <s v="S"/>
    <s v="65D8H"/>
    <n v="1540"/>
    <s v="2018-09-29"/>
    <s v="Historical averaged cost."/>
    <n v="122.9344"/>
    <n v="162.51246"/>
    <n v="162.51246"/>
    <n v="67.453000000000003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60.23102975"/>
    <n v="402.23654462000002"/>
    <n v="402.23654462000002"/>
    <n v="467.85982926000003"/>
    <n v="0"/>
    <n v="0"/>
    <n v="55"/>
    <n v="110"/>
    <n v="110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224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2"/>
    <x v="24"/>
    <x v="24"/>
    <x v="0"/>
    <x v="0"/>
    <x v="0"/>
    <m/>
    <m/>
    <m/>
    <m/>
    <m/>
    <m/>
  </r>
  <r>
    <s v="LW"/>
    <s v="LWE"/>
    <s v="LWT"/>
    <s v="LW"/>
    <s v="AX1"/>
    <s v="E"/>
    <s v="(TIP)-SGSIN-(MD3)-KRPUS-(AX1)"/>
    <s v="57D18H"/>
    <n v="1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8.11"/>
    <n v="784.54"/>
    <n v="623.05999999999995"/>
    <n v="1196.4100000000001"/>
    <n v="0"/>
    <n v="0"/>
    <n v="448.11"/>
    <n v="784.54"/>
    <n v="623.05999999999995"/>
    <n v="1196.4100000000001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TIP"/>
    <s v="AX1"/>
    <m/>
    <m/>
    <s v="S"/>
    <s v="56D7H"/>
    <n v="1312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1)-KRPUS-(AX1)"/>
    <s v="50D18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8.31"/>
    <n v="769.98"/>
    <n v="609.27"/>
    <n v="1173.8"/>
    <n v="0"/>
    <n v="0"/>
    <n v="438.31"/>
    <n v="769.98"/>
    <n v="609.27"/>
    <n v="1173.8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TIP"/>
    <s v="AX1"/>
    <m/>
    <m/>
    <s v="S"/>
    <s v="49D7H"/>
    <n v="1144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AGX)-KRPUS-(AX1)"/>
    <s v="57D18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8.11"/>
    <n v="784.54"/>
    <n v="623.05999999999995"/>
    <n v="1196.4100000000001"/>
    <n v="0"/>
    <n v="0"/>
    <n v="448.11"/>
    <n v="784.54"/>
    <n v="623.05999999999995"/>
    <n v="1196.4100000000001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TIP"/>
    <s v="AX1"/>
    <m/>
    <m/>
    <s v="S"/>
    <s v="56D7H"/>
    <n v="1312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PS3)-SGSIN-(MD2)-KRPUS-(AX1)"/>
    <s v="48D18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5.51"/>
    <n v="765.82"/>
    <n v="605.33000000000004"/>
    <n v="1167.3399999999999"/>
    <n v="0"/>
    <n v="0"/>
    <n v="435.51"/>
    <n v="765.82"/>
    <n v="605.33000000000004"/>
    <n v="1167.33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PS3"/>
    <s v="AX1"/>
    <m/>
    <m/>
    <s v="S"/>
    <s v="47D7H"/>
    <n v="1092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FE5)-SGSIN-(AGX)-KRPUS-(AX1)"/>
    <s v="57D18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9.18"/>
    <n v="786.35"/>
    <n v="624.87"/>
    <n v="1198.22"/>
    <n v="0"/>
    <n v="0"/>
    <n v="449.18"/>
    <n v="786.35"/>
    <n v="624.87"/>
    <n v="1198.22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FE5"/>
    <s v="AX1"/>
    <m/>
    <m/>
    <s v="S"/>
    <s v="56D6H"/>
    <n v="1313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2"/>
    <s v="E"/>
    <s v="(PS3)-SGSIN-(MD2)-KRPUS-(AX2)"/>
    <s v="51D6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2.34"/>
    <n v="822.72"/>
    <n v="662.01"/>
    <n v="1258.8599999999999"/>
    <n v="0"/>
    <n v="0"/>
    <n v="482.34"/>
    <n v="822.72"/>
    <n v="662.01"/>
    <n v="1258.85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PS3"/>
    <s v="AX2"/>
    <m/>
    <m/>
    <s v="S"/>
    <s v="49D19H"/>
    <n v="1152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2"/>
    <s v="E"/>
    <s v="(TIP)-SGSIN-(MD3)-KRPUS-(AX2)"/>
    <s v="53D6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5.14"/>
    <n v="826.88"/>
    <n v="665.95"/>
    <n v="1265.32"/>
    <n v="0"/>
    <n v="0"/>
    <n v="485.14"/>
    <n v="826.88"/>
    <n v="665.95"/>
    <n v="1265.32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TIP"/>
    <s v="AX2"/>
    <m/>
    <m/>
    <s v="S"/>
    <s v="51D19H"/>
    <n v="1204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TIP)-SGSIN-(MD2)-KRPUS-(AX1)"/>
    <s v="50D18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8.31"/>
    <n v="769.98"/>
    <n v="609.27"/>
    <n v="1173.8"/>
    <n v="0"/>
    <n v="0"/>
    <n v="438.31"/>
    <n v="769.98"/>
    <n v="609.27"/>
    <n v="1173.8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TIP"/>
    <s v="AX1"/>
    <m/>
    <m/>
    <s v="S"/>
    <s v="49D7H"/>
    <n v="1144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9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2"/>
    <s v="E"/>
    <s v="(FE5)-SGSIN-(MD3)-KRPUS-(AX2)"/>
    <s v="53D6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6.2"/>
    <n v="828.69"/>
    <n v="667.76"/>
    <n v="1267.1199999999999"/>
    <n v="0"/>
    <n v="0"/>
    <n v="486.2"/>
    <n v="828.69"/>
    <n v="667.76"/>
    <n v="1267.11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FE5"/>
    <s v="AX2"/>
    <m/>
    <m/>
    <s v="S"/>
    <s v="51D18H"/>
    <n v="1205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8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NCI)-SGSIN-(AGX)-KRPUS-(AX1)"/>
    <s v="55D18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8.03"/>
    <n v="812.44"/>
    <n v="651.16999999999996"/>
    <n v="1224.01"/>
    <n v="0"/>
    <n v="0"/>
    <n v="468.03"/>
    <n v="812.44"/>
    <n v="651.16999999999996"/>
    <n v="1224.01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NCI"/>
    <s v="AX1"/>
    <m/>
    <m/>
    <s v="S"/>
    <s v="54D6H"/>
    <n v="1257"/>
    <s v="2018-09-29"/>
    <s v="Historical averaged cost."/>
    <n v="165.93799999999999"/>
    <n v="248.893"/>
    <n v="248.893"/>
    <n v="301.8929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2"/>
    <s v="E"/>
    <s v="(TIP)-SGSIN-(AGX)-KRPUS-(AX2)"/>
    <s v="60D6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0.94"/>
    <n v="716.64"/>
    <n v="561.54"/>
    <n v="1094.1300000000001"/>
    <n v="0"/>
    <n v="0"/>
    <n v="410.94"/>
    <n v="716.64"/>
    <n v="561.54"/>
    <n v="1094.1300000000001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TIP"/>
    <s v="AX2"/>
    <m/>
    <m/>
    <s v="S"/>
    <s v="58D19H"/>
    <n v="1372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3"/>
    <s v="E"/>
    <s v="(FE5)-SGSIN-(AGX)-KRPUS-(AX3)"/>
    <s v="64D3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7.98"/>
    <n v="665.71"/>
    <n v="510.61"/>
    <n v="1010.88"/>
    <n v="0"/>
    <n v="0"/>
    <n v="367.98"/>
    <n v="665.71"/>
    <n v="510.61"/>
    <n v="1010.88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FE5"/>
    <s v="AX3"/>
    <m/>
    <m/>
    <s v="S"/>
    <s v="62D15H"/>
    <n v="1466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2"/>
    <s v="E"/>
    <s v="(PS3)-SGSIN-(AGX)-KRPUS-(AX2)"/>
    <s v="58D6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2.14"/>
    <n v="837.28"/>
    <n v="675.8"/>
    <n v="1281.47"/>
    <n v="0"/>
    <n v="0"/>
    <n v="492.14"/>
    <n v="837.28"/>
    <n v="675.8"/>
    <n v="1281.47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PS3"/>
    <s v="AX2"/>
    <m/>
    <m/>
    <s v="S"/>
    <s v="56D19H"/>
    <n v="1320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3"/>
    <s v="E"/>
    <s v="(TIP)-SGSIN-(AGX)-KRPUS-(AX3)"/>
    <s v="64D3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6.91"/>
    <n v="663.9"/>
    <n v="508.8"/>
    <n v="1009.07"/>
    <n v="0"/>
    <n v="0"/>
    <n v="366.91"/>
    <n v="663.9"/>
    <n v="508.8"/>
    <n v="1009.07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TIP"/>
    <s v="AX3"/>
    <m/>
    <m/>
    <s v="S"/>
    <s v="62D16H"/>
    <n v="1465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2"/>
    <s v="E"/>
    <s v="(FE5)-SGSIN-(AGX)-KRPUS-(AX2)"/>
    <s v="60D6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2"/>
    <n v="718.45"/>
    <n v="563.35"/>
    <n v="1095.93"/>
    <n v="0"/>
    <n v="0"/>
    <n v="412"/>
    <n v="718.45"/>
    <n v="563.35"/>
    <n v="1095.93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FE5"/>
    <s v="AX2"/>
    <m/>
    <m/>
    <s v="S"/>
    <s v="58D18H"/>
    <n v="1373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FE5)-SGSIN-(MD3)-KRPUS-(AX1)"/>
    <s v="57D18H"/>
    <n v="1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9.18"/>
    <n v="786.35"/>
    <n v="624.87"/>
    <n v="1198.22"/>
    <n v="0"/>
    <n v="0"/>
    <n v="449.18"/>
    <n v="786.35"/>
    <n v="624.87"/>
    <n v="1198.22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FE5"/>
    <s v="AX1"/>
    <m/>
    <m/>
    <s v="S"/>
    <s v="56D6H"/>
    <n v="1313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1"/>
    <s v="E"/>
    <s v="(FE5)-SGSIN-(MD2)-KRPUS-(AX1)"/>
    <s v="50D18H"/>
    <n v="2"/>
    <s v="DR"/>
    <s v="D"/>
    <s v="Y"/>
    <s v="Y"/>
    <x v="34"/>
    <s v="COLOMBO"/>
    <x v="20"/>
    <s v="COLOMBO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9.38"/>
    <n v="771.79"/>
    <n v="611.08000000000004"/>
    <n v="1175.6099999999999"/>
    <n v="0"/>
    <n v="0"/>
    <n v="439.38"/>
    <n v="771.79"/>
    <n v="611.08000000000004"/>
    <n v="1175.60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82"/>
    <n v="464"/>
    <n v="464"/>
    <n v="0"/>
    <n v="0"/>
    <n v="0"/>
    <m/>
    <m/>
    <m/>
    <m/>
    <m/>
    <m/>
    <m/>
    <m/>
    <m/>
    <m/>
    <m/>
    <m/>
    <s v="FE5"/>
    <s v="AX1"/>
    <m/>
    <m/>
    <s v="S"/>
    <s v="49D6H"/>
    <n v="1145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650010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0"/>
    <x v="0"/>
    <x v="0"/>
    <x v="0"/>
    <x v="0"/>
    <x v="0"/>
    <m/>
    <m/>
    <m/>
    <m/>
    <m/>
    <m/>
  </r>
  <r>
    <s v="LW"/>
    <s v="LWE"/>
    <s v="LWT"/>
    <s v="LW"/>
    <s v="AX2"/>
    <s v="E"/>
    <s v="(BF2)-KRPUS-(AX2)"/>
    <s v="38D3H"/>
    <n v="2"/>
    <s v="DR"/>
    <s v="D"/>
    <s v="Y"/>
    <s v="Y"/>
    <x v="35"/>
    <s v="DALIAN, LIAONING"/>
    <x v="21"/>
    <s v="DALIAN, LIAONI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38"/>
    <n v="703.35"/>
    <n v="527.78"/>
    <n v="789.92"/>
    <n v="0"/>
    <n v="0"/>
    <n v="548.38"/>
    <n v="703.35"/>
    <n v="527.78"/>
    <n v="789.92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11"/>
    <n v="658.73"/>
    <n v="658.73"/>
    <n v="0"/>
    <n v="0"/>
    <n v="0"/>
    <m/>
    <m/>
    <m/>
    <m/>
    <m/>
    <m/>
    <m/>
    <m/>
    <m/>
    <m/>
    <m/>
    <m/>
    <s v="BF2"/>
    <s v="AX2"/>
    <m/>
    <m/>
    <s v="S"/>
    <s v="36D15H"/>
    <n v="842"/>
    <s v="2018-09-29"/>
    <s v="Historical averaged cost."/>
    <n v="77.800399999999996"/>
    <n v="118.16415000000001"/>
    <n v="118.16415000000001"/>
    <n v="172.66265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63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7"/>
    <x v="19"/>
    <x v="19"/>
    <x v="0"/>
    <x v="0"/>
    <x v="0"/>
    <m/>
    <m/>
    <m/>
    <m/>
    <m/>
    <m/>
  </r>
  <r>
    <s v="LW"/>
    <s v="LWE"/>
    <s v="LWT"/>
    <s v="LW"/>
    <s v="AX3"/>
    <s v="E"/>
    <s v="(BF2)-KRPUS-(AX3)"/>
    <s v="42D0H"/>
    <n v="2"/>
    <s v="DR"/>
    <s v="D"/>
    <s v="Y"/>
    <s v="Y"/>
    <x v="35"/>
    <s v="DALIAN, LIAONING"/>
    <x v="21"/>
    <s v="DALIAN, LIAONI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2.30999999999995"/>
    <n v="731.31"/>
    <n v="555.29999999999995"/>
    <n v="787.85"/>
    <n v="0"/>
    <n v="0"/>
    <n v="562.30999999999995"/>
    <n v="731.31"/>
    <n v="555.29999999999995"/>
    <n v="787.85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11"/>
    <n v="658.73"/>
    <n v="658.73"/>
    <n v="0"/>
    <n v="0"/>
    <n v="0"/>
    <m/>
    <m/>
    <m/>
    <m/>
    <m/>
    <m/>
    <m/>
    <m/>
    <m/>
    <m/>
    <m/>
    <m/>
    <s v="BF2"/>
    <s v="AX3"/>
    <m/>
    <m/>
    <s v="S"/>
    <s v="40D12H"/>
    <n v="935"/>
    <s v="2018-09-29"/>
    <s v="Historical averaged cost."/>
    <n v="77.800399999999996"/>
    <n v="118.16415000000001"/>
    <n v="118.16415000000001"/>
    <n v="172.66265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63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7"/>
    <x v="19"/>
    <x v="19"/>
    <x v="0"/>
    <x v="0"/>
    <x v="0"/>
    <m/>
    <m/>
    <m/>
    <m/>
    <m/>
    <m/>
  </r>
  <r>
    <s v="LW"/>
    <s v="LWE"/>
    <s v="LWT"/>
    <s v="LW"/>
    <s v="AX2"/>
    <s v="E"/>
    <s v="(9CK)-KRPUS-(AX2)"/>
    <s v="46D3H"/>
    <n v="1"/>
    <s v="DR"/>
    <s v="D"/>
    <s v="Y"/>
    <s v="Y"/>
    <x v="35"/>
    <s v="DALIAN, LIAONING"/>
    <x v="21"/>
    <s v="DALIAN, LIAONI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3.33000000000004"/>
    <n v="914.17"/>
    <n v="777.72"/>
    <n v="614.13"/>
    <n v="0"/>
    <n v="0"/>
    <n v="633.33000000000004"/>
    <n v="914.17"/>
    <n v="777.72"/>
    <n v="614.13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11"/>
    <n v="658.73"/>
    <n v="658.73"/>
    <n v="0"/>
    <n v="0"/>
    <n v="0"/>
    <m/>
    <m/>
    <m/>
    <m/>
    <m/>
    <m/>
    <m/>
    <m/>
    <m/>
    <m/>
    <m/>
    <m/>
    <s v="9CK"/>
    <s v="AX2"/>
    <m/>
    <m/>
    <s v="S"/>
    <s v="44D15H"/>
    <n v="1040"/>
    <s v="2018-09-29"/>
    <s v="Historical averaged cost."/>
    <n v="0.17"/>
    <n v="0.25600000000000001"/>
    <n v="0.25600000000000001"/>
    <n v="0.25600000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83.372113999999996"/>
    <n v="116.79109800000001"/>
    <n v="116.79109800000001"/>
    <n v="119.10309599999999"/>
    <n v="0"/>
    <n v="0"/>
    <n v="170"/>
    <n v="340"/>
    <n v="380"/>
    <n v="1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61063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7"/>
    <x v="19"/>
    <x v="19"/>
    <x v="0"/>
    <x v="0"/>
    <x v="0"/>
    <m/>
    <m/>
    <m/>
    <m/>
    <m/>
    <m/>
  </r>
  <r>
    <s v="LW"/>
    <s v="LWE"/>
    <s v="LWT"/>
    <s v="LW"/>
    <s v="AX1"/>
    <s v="E"/>
    <s v="(BF2)-KRPUS-(AX1)"/>
    <s v="35D15H"/>
    <n v="1"/>
    <s v="DR"/>
    <s v="D"/>
    <s v="Y"/>
    <s v="Y"/>
    <x v="35"/>
    <s v="DALIAN, LIAONING"/>
    <x v="21"/>
    <s v="DALIAN, LIAONI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3.91"/>
    <n v="718.83"/>
    <n v="543.48"/>
    <n v="768.47"/>
    <n v="0"/>
    <n v="0"/>
    <n v="553.91"/>
    <n v="718.83"/>
    <n v="543.48"/>
    <n v="768.47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11"/>
    <n v="658.73"/>
    <n v="658.73"/>
    <n v="0"/>
    <n v="0"/>
    <n v="0"/>
    <m/>
    <m/>
    <m/>
    <m/>
    <m/>
    <m/>
    <m/>
    <m/>
    <m/>
    <m/>
    <m/>
    <m/>
    <s v="BF2"/>
    <s v="AX1"/>
    <m/>
    <m/>
    <s v="S"/>
    <s v="34D3H"/>
    <n v="782"/>
    <s v="2018-09-29"/>
    <s v="Historical averaged cost."/>
    <n v="77.800399999999996"/>
    <n v="118.16415000000001"/>
    <n v="118.16415000000001"/>
    <n v="172.66265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06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7"/>
    <x v="19"/>
    <x v="19"/>
    <x v="0"/>
    <x v="0"/>
    <x v="0"/>
    <m/>
    <m/>
    <m/>
    <m/>
    <m/>
    <m/>
  </r>
  <r>
    <s v="LW"/>
    <s v="LWE"/>
    <s v="LWT"/>
    <s v="LW"/>
    <s v="AX3"/>
    <s v="E"/>
    <s v="(SAC)-CNNGB-(AX3)"/>
    <s v="72D17H"/>
    <n v="2"/>
    <s v="DR"/>
    <s v="D"/>
    <s v="Y"/>
    <s v="Y"/>
    <x v="62"/>
    <s v="DURBAN"/>
    <x v="36"/>
    <s v="DURB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74.73"/>
    <n v="378.56"/>
    <n v="136.41"/>
    <n v="4484.8599999999997"/>
    <n v="0"/>
    <n v="0"/>
    <n v="174.73"/>
    <n v="378.56"/>
    <n v="136.41"/>
    <n v="4484.8599999999997"/>
    <n v="0"/>
    <n v="0"/>
    <s v="ZADUR"/>
    <n v="-86.356820885999994"/>
    <n v="-13.166865724000001"/>
    <n v="-72.889928232000003"/>
    <n v="4036.4401221640001"/>
    <n v="0"/>
    <n v="0"/>
    <n v="-86.356820885999994"/>
    <n v="-13.166865724000001"/>
    <n v="-72.889928232000003"/>
    <n v="4036.440122164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70.5"/>
    <n v="394.49"/>
    <n v="394.49"/>
    <n v="0"/>
    <n v="0"/>
    <n v="0"/>
    <m/>
    <m/>
    <m/>
    <m/>
    <m/>
    <m/>
    <m/>
    <m/>
    <m/>
    <m/>
    <m/>
    <m/>
    <s v="SAC"/>
    <s v="AX3"/>
    <m/>
    <m/>
    <s v="S"/>
    <s v="71D5H"/>
    <n v="1613"/>
    <s v="2018-09-29"/>
    <s v="Historical averaged cost."/>
    <n v="156.92023"/>
    <n v="232.34304"/>
    <n v="232.34304"/>
    <n v="295.31605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53.349271719999997"/>
    <n v="79.522407580000007"/>
    <n v="79.522407580000007"/>
    <n v="106.954540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5330003"/>
    <s v="OPUS"/>
    <m/>
    <m/>
    <m/>
    <x v="0"/>
    <x v="0"/>
    <x v="0"/>
    <n v="60"/>
    <n v="120"/>
    <n v="120"/>
    <x v="0"/>
    <x v="0"/>
    <x v="0"/>
    <x v="1"/>
    <x v="1"/>
    <x v="1"/>
    <m/>
    <m/>
    <m/>
    <m/>
    <m/>
    <m/>
    <x v="13"/>
    <x v="13"/>
    <n v="1.977060243222345"/>
    <x v="3"/>
    <x v="3"/>
    <x v="3"/>
    <x v="23"/>
    <x v="25"/>
    <x v="25"/>
    <x v="0"/>
    <x v="0"/>
    <x v="0"/>
    <m/>
    <m/>
    <m/>
    <m/>
    <m/>
    <m/>
  </r>
  <r>
    <s v="LW"/>
    <s v="LWE"/>
    <s v="LWT"/>
    <s v="LW"/>
    <s v="AX1"/>
    <s v="E"/>
    <s v="(SAS)-HKHKG-(AX1)"/>
    <s v="76D16H"/>
    <n v="2"/>
    <s v="DR"/>
    <s v="D"/>
    <s v="Y"/>
    <s v="Y"/>
    <x v="62"/>
    <s v="DURBAN"/>
    <x v="36"/>
    <s v="DURB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67.07"/>
    <n v="519.04"/>
    <n v="276.89"/>
    <n v="4637.53"/>
    <n v="0"/>
    <n v="0"/>
    <n v="267.07"/>
    <n v="519.04"/>
    <n v="276.89"/>
    <n v="4637.53"/>
    <n v="0"/>
    <n v="0"/>
    <s v="ZADUR"/>
    <n v="-86.356820885999994"/>
    <n v="-13.166865724000001"/>
    <n v="-72.889928232000003"/>
    <n v="4036.4401221640001"/>
    <n v="0"/>
    <n v="0"/>
    <n v="-86.356820885999994"/>
    <n v="-13.166865724000001"/>
    <n v="-72.889928232000003"/>
    <n v="4036.440122164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70.5"/>
    <n v="394.49"/>
    <n v="394.49"/>
    <n v="0"/>
    <n v="0"/>
    <n v="0"/>
    <m/>
    <m/>
    <m/>
    <m/>
    <m/>
    <m/>
    <m/>
    <m/>
    <m/>
    <m/>
    <m/>
    <m/>
    <s v="SAS"/>
    <s v="AX1"/>
    <m/>
    <m/>
    <s v="S"/>
    <s v="75D4H"/>
    <n v="1716"/>
    <s v="2018-09-29"/>
    <s v="Historical averaged cost."/>
    <n v="156.92023"/>
    <n v="232.34304"/>
    <n v="232.34304"/>
    <n v="295.31605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5330002"/>
    <s v="OPUS"/>
    <m/>
    <m/>
    <m/>
    <x v="0"/>
    <x v="0"/>
    <x v="0"/>
    <n v="60"/>
    <n v="120"/>
    <n v="120"/>
    <x v="0"/>
    <x v="0"/>
    <x v="0"/>
    <x v="1"/>
    <x v="1"/>
    <x v="1"/>
    <m/>
    <m/>
    <m/>
    <m/>
    <m/>
    <m/>
    <x v="13"/>
    <x v="13"/>
    <n v="1.977060243222345"/>
    <x v="3"/>
    <x v="3"/>
    <x v="3"/>
    <x v="23"/>
    <x v="25"/>
    <x v="25"/>
    <x v="0"/>
    <x v="0"/>
    <x v="0"/>
    <m/>
    <m/>
    <m/>
    <m/>
    <m/>
    <m/>
  </r>
  <r>
    <s v="LW"/>
    <s v="LWE"/>
    <s v="LWT"/>
    <s v="LW"/>
    <s v="AX2"/>
    <s v="E"/>
    <s v="(SAS)-HKHKG-(AX2)"/>
    <s v="72D4H"/>
    <n v="1"/>
    <s v="DR"/>
    <s v="D"/>
    <s v="Y"/>
    <s v="Y"/>
    <x v="62"/>
    <s v="DURBAN"/>
    <x v="36"/>
    <s v="DURB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60.41000000000003"/>
    <n v="501.7"/>
    <n v="259.55"/>
    <n v="4650.1899999999996"/>
    <n v="0"/>
    <n v="0"/>
    <n v="260.41000000000003"/>
    <n v="501.7"/>
    <n v="259.55"/>
    <n v="4650.1899999999996"/>
    <n v="0"/>
    <n v="0"/>
    <s v="ZADUR"/>
    <n v="-86.356820885999994"/>
    <n v="-13.166865724000001"/>
    <n v="-72.889928232000003"/>
    <n v="4036.4401221640001"/>
    <n v="0"/>
    <n v="0"/>
    <n v="-86.356820885999994"/>
    <n v="-13.166865724000001"/>
    <n v="-72.889928232000003"/>
    <n v="4036.440122164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70.5"/>
    <n v="394.49"/>
    <n v="394.49"/>
    <n v="0"/>
    <n v="0"/>
    <n v="0"/>
    <m/>
    <m/>
    <m/>
    <m/>
    <m/>
    <m/>
    <m/>
    <m/>
    <m/>
    <m/>
    <m/>
    <m/>
    <s v="SAS"/>
    <s v="AX2"/>
    <m/>
    <m/>
    <s v="S"/>
    <s v="70D16H"/>
    <n v="1608"/>
    <s v="2018-09-29"/>
    <s v="Historical averaged cost."/>
    <n v="156.92023"/>
    <n v="232.34304"/>
    <n v="232.34304"/>
    <n v="295.31605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5330001"/>
    <s v="OPUS"/>
    <m/>
    <m/>
    <m/>
    <x v="0"/>
    <x v="0"/>
    <x v="0"/>
    <n v="60"/>
    <n v="120"/>
    <n v="120"/>
    <x v="0"/>
    <x v="0"/>
    <x v="0"/>
    <x v="1"/>
    <x v="1"/>
    <x v="1"/>
    <m/>
    <m/>
    <m/>
    <m/>
    <m/>
    <m/>
    <x v="13"/>
    <x v="13"/>
    <n v="1.977060243222345"/>
    <x v="3"/>
    <x v="3"/>
    <x v="3"/>
    <x v="23"/>
    <x v="25"/>
    <x v="25"/>
    <x v="0"/>
    <x v="0"/>
    <x v="0"/>
    <m/>
    <m/>
    <m/>
    <m/>
    <m/>
    <m/>
  </r>
  <r>
    <s v="LW"/>
    <s v="LWE"/>
    <s v="LWT"/>
    <s v="LW"/>
    <s v="AX2"/>
    <s v="E"/>
    <s v="(SAC)-SGSIN-(MD2)-KRPUS-(AX2)"/>
    <s v="61D20H"/>
    <n v="3"/>
    <s v="DR"/>
    <s v="D"/>
    <s v="Y"/>
    <s v="Y"/>
    <x v="62"/>
    <s v="DURBAN"/>
    <x v="36"/>
    <s v="DURB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7.3"/>
    <n v="647.01"/>
    <n v="404.87"/>
    <n v="4758.2"/>
    <n v="0"/>
    <n v="0"/>
    <n v="417.3"/>
    <n v="647.01"/>
    <n v="404.87"/>
    <n v="4758.2"/>
    <n v="0"/>
    <n v="0"/>
    <s v="ZADUR"/>
    <n v="-86.356820885999994"/>
    <n v="-13.166865724000001"/>
    <n v="-72.889928232000003"/>
    <n v="4036.4401221640001"/>
    <n v="0"/>
    <n v="0"/>
    <n v="-86.356820885999994"/>
    <n v="-13.166865724000001"/>
    <n v="-72.889928232000003"/>
    <n v="4036.440122164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70.5"/>
    <n v="394.49"/>
    <n v="394.49"/>
    <n v="0"/>
    <n v="0"/>
    <n v="0"/>
    <m/>
    <m/>
    <m/>
    <m/>
    <m/>
    <m/>
    <m/>
    <m/>
    <m/>
    <m/>
    <m/>
    <m/>
    <s v="SAC"/>
    <s v="AX2"/>
    <m/>
    <m/>
    <s v="T"/>
    <s v="60D8H"/>
    <n v="1352"/>
    <s v="2018-09-29"/>
    <s v="Historical averaged cost."/>
    <n v="156.92023"/>
    <n v="232.34304"/>
    <n v="232.34304"/>
    <n v="295.31605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5330005"/>
    <s v="OPUS"/>
    <m/>
    <m/>
    <m/>
    <x v="0"/>
    <x v="0"/>
    <x v="0"/>
    <n v="60"/>
    <n v="120"/>
    <n v="120"/>
    <x v="0"/>
    <x v="0"/>
    <x v="0"/>
    <x v="1"/>
    <x v="1"/>
    <x v="1"/>
    <m/>
    <m/>
    <m/>
    <m/>
    <m/>
    <m/>
    <x v="13"/>
    <x v="13"/>
    <n v="1.977060243222345"/>
    <x v="3"/>
    <x v="3"/>
    <x v="3"/>
    <x v="23"/>
    <x v="25"/>
    <x v="25"/>
    <x v="0"/>
    <x v="0"/>
    <x v="0"/>
    <m/>
    <m/>
    <m/>
    <m/>
    <m/>
    <m/>
  </r>
  <r>
    <s v="LW"/>
    <s v="LWE"/>
    <s v="LWT"/>
    <s v="LW"/>
    <s v="AX3"/>
    <s v="E"/>
    <s v="(SAC)-SGSIN-(MD2)-KRPUS-(AX3)"/>
    <s v="65D17H"/>
    <n v="3"/>
    <s v="DR"/>
    <s v="D"/>
    <s v="Y"/>
    <s v="Y"/>
    <x v="62"/>
    <s v="DURBAN"/>
    <x v="36"/>
    <s v="DURB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3.28"/>
    <n v="594.27"/>
    <n v="352.12"/>
    <n v="4673.1400000000003"/>
    <n v="0"/>
    <n v="0"/>
    <n v="373.28"/>
    <n v="594.27"/>
    <n v="352.12"/>
    <n v="4673.1400000000003"/>
    <n v="0"/>
    <n v="0"/>
    <s v="ZADUR"/>
    <n v="-86.356820885999994"/>
    <n v="-13.166865724000001"/>
    <n v="-72.889928232000003"/>
    <n v="4036.4401221640001"/>
    <n v="0"/>
    <n v="0"/>
    <n v="-86.356820885999994"/>
    <n v="-13.166865724000001"/>
    <n v="-72.889928232000003"/>
    <n v="4036.440122164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70.5"/>
    <n v="394.49"/>
    <n v="394.49"/>
    <n v="0"/>
    <n v="0"/>
    <n v="0"/>
    <m/>
    <m/>
    <m/>
    <m/>
    <m/>
    <m/>
    <m/>
    <m/>
    <m/>
    <m/>
    <m/>
    <m/>
    <s v="SAC"/>
    <s v="AX3"/>
    <m/>
    <m/>
    <s v="T"/>
    <s v="64D5H"/>
    <n v="1445"/>
    <s v="2018-09-29"/>
    <s v="Historical averaged cost."/>
    <n v="156.92023"/>
    <n v="232.34304"/>
    <n v="232.34304"/>
    <n v="295.31605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5330004"/>
    <s v="OPUS"/>
    <m/>
    <m/>
    <m/>
    <x v="0"/>
    <x v="0"/>
    <x v="0"/>
    <n v="60"/>
    <n v="120"/>
    <n v="120"/>
    <x v="0"/>
    <x v="0"/>
    <x v="0"/>
    <x v="1"/>
    <x v="1"/>
    <x v="1"/>
    <m/>
    <m/>
    <m/>
    <m/>
    <m/>
    <m/>
    <x v="13"/>
    <x v="13"/>
    <n v="1.977060243222345"/>
    <x v="3"/>
    <x v="3"/>
    <x v="3"/>
    <x v="23"/>
    <x v="25"/>
    <x v="25"/>
    <x v="0"/>
    <x v="0"/>
    <x v="0"/>
    <m/>
    <m/>
    <m/>
    <m/>
    <m/>
    <m/>
  </r>
  <r>
    <s v="LW"/>
    <s v="LWE"/>
    <s v="LWT"/>
    <s v="LW"/>
    <s v="AX1"/>
    <s v="E"/>
    <s v="(SAC)-SGSIN-(MD2)-KRPUS-(AX1)"/>
    <s v="59D8H"/>
    <n v="3"/>
    <s v="DR"/>
    <s v="D"/>
    <s v="Y"/>
    <s v="Y"/>
    <x v="62"/>
    <s v="DURBAN"/>
    <x v="36"/>
    <s v="DURB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5.88"/>
    <n v="716.99"/>
    <n v="468.35"/>
    <n v="4863.71"/>
    <n v="0"/>
    <n v="0"/>
    <n v="455.88"/>
    <n v="716.99"/>
    <n v="468.35"/>
    <n v="4863.71"/>
    <n v="0"/>
    <n v="0"/>
    <s v="ZADUR"/>
    <n v="-86.356820885999994"/>
    <n v="-13.166865724000001"/>
    <n v="-72.889928232000003"/>
    <n v="4036.4401221640001"/>
    <n v="0"/>
    <n v="0"/>
    <n v="-86.356820885999994"/>
    <n v="-13.166865724000001"/>
    <n v="-72.889928232000003"/>
    <n v="4036.440122164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270.5"/>
    <n v="394.49"/>
    <n v="394.49"/>
    <n v="0"/>
    <n v="0"/>
    <n v="0"/>
    <m/>
    <m/>
    <m/>
    <m/>
    <m/>
    <m/>
    <m/>
    <m/>
    <m/>
    <m/>
    <m/>
    <m/>
    <s v="SAC"/>
    <s v="AX1"/>
    <m/>
    <m/>
    <s v="T"/>
    <s v="57D20H"/>
    <n v="1292"/>
    <s v="2018-09-29"/>
    <s v="Historical averaged cost."/>
    <n v="156.92023"/>
    <n v="232.34304"/>
    <n v="232.34304"/>
    <n v="295.31605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5330006"/>
    <s v="OPUS"/>
    <m/>
    <m/>
    <m/>
    <x v="0"/>
    <x v="0"/>
    <x v="0"/>
    <n v="60"/>
    <n v="120"/>
    <n v="120"/>
    <x v="0"/>
    <x v="0"/>
    <x v="0"/>
    <x v="1"/>
    <x v="1"/>
    <x v="1"/>
    <m/>
    <m/>
    <m/>
    <m/>
    <m/>
    <m/>
    <x v="13"/>
    <x v="13"/>
    <n v="1.977060243222345"/>
    <x v="3"/>
    <x v="3"/>
    <x v="3"/>
    <x v="23"/>
    <x v="25"/>
    <x v="25"/>
    <x v="0"/>
    <x v="0"/>
    <x v="0"/>
    <m/>
    <m/>
    <m/>
    <m/>
    <m/>
    <m/>
  </r>
  <r>
    <s v="LW"/>
    <s v="LWE"/>
    <s v="LWT"/>
    <s v="LW"/>
    <s v="AX2"/>
    <s v="E"/>
    <s v="(AX2)"/>
    <s v="38D14H"/>
    <n v="1"/>
    <s v="DR"/>
    <s v="D"/>
    <s v="Y"/>
    <s v="Y"/>
    <x v="4"/>
    <s v="FOSHAN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8.82000000000005"/>
    <n v="710.33"/>
    <n v="568.5"/>
    <n v="879.11"/>
    <n v="0"/>
    <n v="0"/>
    <n v="518.82000000000005"/>
    <n v="710.33"/>
    <n v="568.5"/>
    <n v="879.11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6D21H"/>
    <n v="790"/>
    <s v="2018-09-29"/>
    <s v="Historical averaged cost."/>
    <n v="110.87472"/>
    <n v="166.13449"/>
    <n v="166.13449"/>
    <n v="183.10584"/>
    <n v="0"/>
    <n v="0"/>
    <n v="114.66545000000001"/>
    <n v="178.36848000000001"/>
    <n v="178.36848000000001"/>
    <n v="191.1090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97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15H"/>
    <n v="1"/>
    <s v="DR"/>
    <s v="D"/>
    <s v="Y"/>
    <s v="Y"/>
    <x v="4"/>
    <s v="FOSH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9.04999999999995"/>
    <n v="725.84"/>
    <n v="584.02"/>
    <n v="887.27"/>
    <n v="0"/>
    <n v="0"/>
    <n v="529.04999999999995"/>
    <n v="725.84"/>
    <n v="584.02"/>
    <n v="887.27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21H"/>
    <n v="800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97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6D19H"/>
    <n v="3"/>
    <s v="DR"/>
    <s v="D"/>
    <s v="Y"/>
    <s v="Y"/>
    <x v="4"/>
    <s v="FOSH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58000000000004"/>
    <n v="849.04"/>
    <n v="707.44"/>
    <n v="1042.8"/>
    <n v="0"/>
    <n v="0"/>
    <n v="621.58000000000004"/>
    <n v="849.04"/>
    <n v="707.44"/>
    <n v="1042.8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5D1H"/>
    <n v="773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97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19H"/>
    <n v="1"/>
    <s v="DR"/>
    <s v="D"/>
    <s v="Y"/>
    <s v="Y"/>
    <x v="4"/>
    <s v="FOSH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59"/>
    <n v="704.34"/>
    <n v="562.74"/>
    <n v="893.47"/>
    <n v="0"/>
    <n v="0"/>
    <n v="519.59"/>
    <n v="704.34"/>
    <n v="562.74"/>
    <n v="893.47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5D1H"/>
    <n v="758"/>
    <s v="2018-09-29"/>
    <s v="Historical averaged cost."/>
    <n v="152.66703000000001"/>
    <n v="230.55654000000001"/>
    <n v="230.55654000000001"/>
    <n v="270.17982999999998"/>
    <n v="0"/>
    <n v="0"/>
    <n v="76.443640000000002"/>
    <n v="112.11733"/>
    <n v="112.11733"/>
    <n v="124.8579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97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9D3H"/>
    <n v="1"/>
    <s v="DR"/>
    <s v="D"/>
    <s v="Y"/>
    <s v="Y"/>
    <x v="4"/>
    <s v="FOSHAN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1.04999999999995"/>
    <n v="754.65"/>
    <n v="612.82000000000005"/>
    <n v="658.67"/>
    <n v="0"/>
    <n v="0"/>
    <n v="551.04999999999995"/>
    <n v="754.65"/>
    <n v="612.82000000000005"/>
    <n v="658.67"/>
    <n v="0"/>
    <n v="0"/>
    <s v="CNFOS"/>
    <n v="194.52189237100001"/>
    <n v="222.18377864199999"/>
    <n v="267.07608465700002"/>
    <n v="320.11060357299999"/>
    <n v="0"/>
    <n v="0"/>
    <n v="194.52189237100001"/>
    <n v="222.18377864199999"/>
    <n v="267.07608465700002"/>
    <n v="320.11060357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10H"/>
    <n v="789"/>
    <s v="2018-09-29"/>
    <s v="Historical averaged cost."/>
    <n v="91.532589999999999"/>
    <n v="135.29938999999999"/>
    <n v="135.29938999999999"/>
    <n v="165.43816000000001"/>
    <n v="0"/>
    <n v="0"/>
    <n v="159.58000000000001"/>
    <n v="236.18"/>
    <n v="236.18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97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8D9H"/>
    <n v="3"/>
    <s v="DR"/>
    <s v="D"/>
    <s v="Y"/>
    <s v="Y"/>
    <x v="5"/>
    <s v="FUZHOU, FUJIAN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9"/>
    <n v="1029.77"/>
    <n v="795.33"/>
    <n v="1295.02"/>
    <n v="0"/>
    <n v="0"/>
    <n v="644.9"/>
    <n v="1029.77"/>
    <n v="795.33"/>
    <n v="1295.0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CSW"/>
    <s v="AX2"/>
    <s v="F"/>
    <m/>
    <s v="T"/>
    <s v="36D15H"/>
    <n v="773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3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2"/>
    <s v="E"/>
    <s v="(AX2)"/>
    <s v="38D9H"/>
    <n v="1"/>
    <s v="DR"/>
    <s v="D"/>
    <s v="Y"/>
    <s v="Y"/>
    <x v="5"/>
    <s v="FUZHOU, FUJIAN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2.91"/>
    <n v="885.07"/>
    <n v="650.63"/>
    <n v="1145.7"/>
    <n v="0"/>
    <n v="0"/>
    <n v="542.91"/>
    <n v="885.07"/>
    <n v="650.63"/>
    <n v="1145.7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AX2"/>
    <s v="AX2"/>
    <s v="F"/>
    <m/>
    <s v="S"/>
    <s v="36D15H"/>
    <n v="758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3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AX2)-KRPUS-(AX1)"/>
    <s v="44D13H"/>
    <n v="3"/>
    <s v="DR"/>
    <s v="D"/>
    <s v="Y"/>
    <s v="Y"/>
    <x v="5"/>
    <s v="FUZHOU, FUJIAN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6.89"/>
    <n v="959.81"/>
    <n v="724.6"/>
    <n v="1196.05"/>
    <n v="0"/>
    <n v="0"/>
    <n v="606.89"/>
    <n v="959.81"/>
    <n v="724.6"/>
    <n v="1196.05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AX2"/>
    <s v="AX1"/>
    <s v="F"/>
    <m/>
    <s v="T"/>
    <s v="42D20H"/>
    <n v="943"/>
    <s v="2018-09-29"/>
    <s v="Historical averaged cost."/>
    <n v="67.504099999999994"/>
    <n v="100.90221"/>
    <n v="100.90221"/>
    <n v="119.59263"/>
    <n v="0"/>
    <n v="0"/>
    <n v="86.636120000000005"/>
    <n v="171.99817999999999"/>
    <n v="171.99817999999999"/>
    <n v="215.31623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1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2"/>
    <s v="E"/>
    <s v="(AX2)"/>
    <s v="40D1H"/>
    <n v="1"/>
    <s v="DR"/>
    <s v="D"/>
    <s v="Y"/>
    <s v="Y"/>
    <x v="5"/>
    <s v="FUZHOU, FUJIAN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8.89"/>
    <n v="714.98"/>
    <n v="480.32"/>
    <n v="973.16"/>
    <n v="0"/>
    <n v="0"/>
    <n v="438.89"/>
    <n v="714.98"/>
    <n v="480.32"/>
    <n v="973.16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AX2"/>
    <s v="AX2"/>
    <s v="F"/>
    <m/>
    <s v="S"/>
    <s v="38D8H"/>
    <n v="835"/>
    <s v="2018-09-29"/>
    <s v="Historical averaged cost."/>
    <n v="67.504099999999994"/>
    <n v="100.90221"/>
    <n v="100.90221"/>
    <n v="119.59263"/>
    <n v="0"/>
    <n v="0"/>
    <n v="86.636120000000005"/>
    <n v="171.99817999999999"/>
    <n v="171.99817999999999"/>
    <n v="215.31623999999999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1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AX1)-KRPUS-(AX1)"/>
    <s v="42D21H"/>
    <n v="3"/>
    <s v="DR"/>
    <s v="D"/>
    <s v="Y"/>
    <s v="Y"/>
    <x v="5"/>
    <s v="FUZHOU, FUJIAN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2.1"/>
    <n v="938.11"/>
    <n v="703.12"/>
    <n v="1194.5999999999999"/>
    <n v="0"/>
    <n v="0"/>
    <n v="582.1"/>
    <n v="938.11"/>
    <n v="703.12"/>
    <n v="1194.599999999999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52"/>
    <n v="657.41"/>
    <n v="657.41"/>
    <n v="0"/>
    <n v="0"/>
    <n v="0"/>
    <m/>
    <m/>
    <m/>
    <m/>
    <m/>
    <m/>
    <m/>
    <m/>
    <m/>
    <m/>
    <m/>
    <m/>
    <s v="AX1"/>
    <s v="AX1"/>
    <s v="F"/>
    <m/>
    <s v="T"/>
    <s v="41D3H"/>
    <n v="837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5"/>
    <s v="FUZHOU, FUJIAN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2.63"/>
    <n v="797.35"/>
    <n v="562.03"/>
    <n v="1057.29"/>
    <n v="0"/>
    <n v="0"/>
    <n v="482.63"/>
    <n v="797.35"/>
    <n v="562.03"/>
    <n v="1057.2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52"/>
    <n v="657.41"/>
    <n v="657.41"/>
    <n v="0"/>
    <n v="0"/>
    <n v="0"/>
    <m/>
    <m/>
    <m/>
    <m/>
    <m/>
    <m/>
    <m/>
    <m/>
    <m/>
    <m/>
    <m/>
    <m/>
    <s v="AX3"/>
    <s v="AX3"/>
    <s v="F"/>
    <m/>
    <s v="S"/>
    <s v="44D12H"/>
    <n v="927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AX3)-KRPUS-(AX1)"/>
    <s v="46D21H"/>
    <n v="3"/>
    <s v="DR"/>
    <s v="D"/>
    <s v="Y"/>
    <s v="Y"/>
    <x v="5"/>
    <s v="FUZHOU, FUJIAN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7.70000000000005"/>
    <n v="946.43"/>
    <n v="711"/>
    <n v="1207.52"/>
    <n v="0"/>
    <n v="0"/>
    <n v="587.70000000000005"/>
    <n v="946.43"/>
    <n v="711"/>
    <n v="1207.5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52"/>
    <n v="657.41"/>
    <n v="657.41"/>
    <n v="0"/>
    <n v="0"/>
    <n v="0"/>
    <m/>
    <m/>
    <m/>
    <m/>
    <m/>
    <m/>
    <m/>
    <m/>
    <m/>
    <m/>
    <m/>
    <m/>
    <s v="AX3"/>
    <s v="AX1"/>
    <s v="F"/>
    <m/>
    <s v="T"/>
    <s v="45D3H"/>
    <n v="942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9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3"/>
    <s v="E"/>
    <s v="(8CD)-CNNGB-(AX3)"/>
    <s v="47D0H"/>
    <n v="2"/>
    <s v="DR"/>
    <s v="D"/>
    <s v="Y"/>
    <s v="Y"/>
    <x v="5"/>
    <s v="FUZHOU, FUJIAN"/>
    <x v="10"/>
    <s v="FUZHOU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8.77"/>
    <n v="806.04"/>
    <n v="570.62"/>
    <n v="1067.1300000000001"/>
    <n v="0"/>
    <n v="0"/>
    <n v="488.77"/>
    <n v="806.04"/>
    <n v="570.62"/>
    <n v="1067.1300000000001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8CD"/>
    <s v="AX3"/>
    <m/>
    <m/>
    <s v="S"/>
    <s v="45D12H"/>
    <n v="1077"/>
    <s v="2018-09-29"/>
    <s v="Historical averaged cost."/>
    <n v="0"/>
    <n v="0"/>
    <n v="0"/>
    <n v="0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6.634135860000001"/>
    <n v="39.451703790000003"/>
    <n v="39.451703790000003"/>
    <n v="53.16777037"/>
    <n v="0"/>
    <n v="0"/>
    <n v="160.93518"/>
    <n v="292.60942"/>
    <n v="292.60942"/>
    <n v="365.76177999999999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8CD)-CNNGB-(AX1)"/>
    <s v="33D15H"/>
    <n v="1"/>
    <s v="DR"/>
    <s v="D"/>
    <s v="Y"/>
    <s v="Y"/>
    <x v="5"/>
    <s v="FUZHOU, FUJIAN"/>
    <x v="10"/>
    <s v="FUZHOU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0.57"/>
    <n v="779"/>
    <n v="545.01"/>
    <n v="1025.1400000000001"/>
    <n v="0"/>
    <n v="0"/>
    <n v="470.57"/>
    <n v="779"/>
    <n v="545.01"/>
    <n v="1025.1400000000001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8CD"/>
    <s v="AX1"/>
    <m/>
    <m/>
    <s v="S"/>
    <s v="32D3H"/>
    <n v="756"/>
    <s v="2018-09-29"/>
    <s v="Historical averaged cost."/>
    <n v="0"/>
    <n v="0"/>
    <n v="0"/>
    <n v="0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6.634135860000001"/>
    <n v="39.451703790000003"/>
    <n v="39.451703790000003"/>
    <n v="53.16777037"/>
    <n v="0"/>
    <n v="0"/>
    <n v="160.93518"/>
    <n v="292.60942"/>
    <n v="292.60942"/>
    <n v="365.76177999999999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AX1)"/>
    <s v="35D21H"/>
    <n v="1"/>
    <s v="DR"/>
    <s v="D"/>
    <s v="Y"/>
    <s v="Y"/>
    <x v="5"/>
    <s v="FUZHOU, FUJIAN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8.63"/>
    <n v="776.55"/>
    <n v="542.33000000000004"/>
    <n v="1024.99"/>
    <n v="0"/>
    <n v="0"/>
    <n v="468.63"/>
    <n v="776.55"/>
    <n v="542.33000000000004"/>
    <n v="1024.9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52"/>
    <n v="657.41"/>
    <n v="657.41"/>
    <n v="0"/>
    <n v="0"/>
    <n v="0"/>
    <m/>
    <m/>
    <m/>
    <m/>
    <m/>
    <m/>
    <m/>
    <m/>
    <m/>
    <m/>
    <m/>
    <m/>
    <s v="AX1"/>
    <s v="AX1"/>
    <s v="F"/>
    <m/>
    <s v="S"/>
    <s v="34D3H"/>
    <n v="669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2"/>
    <s v="E"/>
    <s v="(AX2)"/>
    <s v="35D21H"/>
    <n v="1"/>
    <s v="DR"/>
    <s v="D"/>
    <s v="Y"/>
    <s v="Y"/>
    <x v="5"/>
    <s v="FUZHOU, FUJIAN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1.98"/>
    <n v="759.21"/>
    <n v="524.99"/>
    <n v="1037.6500000000001"/>
    <n v="0"/>
    <n v="0"/>
    <n v="461.98"/>
    <n v="759.21"/>
    <n v="524.99"/>
    <n v="1037.6500000000001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52"/>
    <n v="657.41"/>
    <n v="657.41"/>
    <n v="0"/>
    <n v="0"/>
    <n v="0"/>
    <m/>
    <m/>
    <m/>
    <m/>
    <m/>
    <m/>
    <m/>
    <m/>
    <m/>
    <m/>
    <m/>
    <m/>
    <s v="AX2"/>
    <s v="AX2"/>
    <s v="F"/>
    <m/>
    <s v="S"/>
    <s v="34D3H"/>
    <n v="692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EC3)-HKHKG-(AX1)"/>
    <s v="45D18H"/>
    <n v="3"/>
    <s v="DR"/>
    <s v="D"/>
    <s v="Y"/>
    <s v="Y"/>
    <x v="5"/>
    <s v="FUZHOU, FUJIAN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9.64"/>
    <n v="964.8"/>
    <n v="729.48"/>
    <n v="1239.5"/>
    <n v="0"/>
    <n v="0"/>
    <n v="599.64"/>
    <n v="964.8"/>
    <n v="729.48"/>
    <n v="1239.5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EC3"/>
    <s v="AX1"/>
    <s v="F"/>
    <m/>
    <s v="T"/>
    <s v="44D0H"/>
    <n v="960"/>
    <s v="2018-09-29"/>
    <s v="Historical averaged cost."/>
    <n v="67.504099999999994"/>
    <n v="100.90221"/>
    <n v="100.90221"/>
    <n v="119.59263"/>
    <n v="0"/>
    <n v="0"/>
    <n v="86.636120000000005"/>
    <n v="171.99817999999999"/>
    <n v="171.99817999999999"/>
    <n v="215.31623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2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2"/>
    <s v="E"/>
    <s v="(AX3)-KRPUS-(AX2)"/>
    <s v="56D9H"/>
    <n v="3"/>
    <s v="DR"/>
    <s v="D"/>
    <s v="Y"/>
    <s v="Y"/>
    <x v="5"/>
    <s v="FUZHOU, FUJIAN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32000000000005"/>
    <n v="1017.9"/>
    <n v="781.48"/>
    <n v="1321.64"/>
    <n v="0"/>
    <n v="0"/>
    <n v="644.32000000000005"/>
    <n v="1017.9"/>
    <n v="781.48"/>
    <n v="1321.64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52"/>
    <n v="657.41"/>
    <n v="657.41"/>
    <n v="0"/>
    <n v="0"/>
    <n v="0"/>
    <m/>
    <m/>
    <m/>
    <m/>
    <m/>
    <m/>
    <m/>
    <m/>
    <m/>
    <m/>
    <m/>
    <m/>
    <s v="AX3"/>
    <s v="AX2"/>
    <s v="F"/>
    <m/>
    <s v="T"/>
    <s v="54D15H"/>
    <n v="1170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08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AX1)"/>
    <s v="40D5H"/>
    <n v="1"/>
    <s v="DR"/>
    <s v="D"/>
    <s v="Y"/>
    <s v="Y"/>
    <x v="5"/>
    <s v="FUZHOU, FUJIAN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2.37"/>
    <n v="906.57"/>
    <n v="671.91"/>
    <n v="1139.5"/>
    <n v="0"/>
    <n v="0"/>
    <n v="552.37"/>
    <n v="906.57"/>
    <n v="671.91"/>
    <n v="1139.5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AX1"/>
    <s v="AX1"/>
    <s v="F"/>
    <m/>
    <s v="S"/>
    <s v="38D11H"/>
    <n v="800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398003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2"/>
    <s v="E"/>
    <s v="(9CV)-CNXMN-(AX2)"/>
    <s v="52D3H"/>
    <n v="2"/>
    <s v="DR"/>
    <s v="D"/>
    <s v="Y"/>
    <s v="Y"/>
    <x v="5"/>
    <s v="FUZHOU, FUJIAN"/>
    <x v="10"/>
    <s v="FUZHOU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6.26"/>
    <n v="829.18"/>
    <n v="593.20000000000005"/>
    <n v="1068.1500000000001"/>
    <n v="0"/>
    <n v="0"/>
    <n v="496.26"/>
    <n v="829.18"/>
    <n v="593.20000000000005"/>
    <n v="1068.1500000000001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9CV"/>
    <s v="AX2"/>
    <m/>
    <m/>
    <s v="S"/>
    <s v="50D15H"/>
    <n v="1181"/>
    <s v="2018-09-29"/>
    <s v="Historical averaged cost."/>
    <n v="4"/>
    <n v="4"/>
    <n v="4"/>
    <n v="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55.708701079999997"/>
    <n v="83.135703969999994"/>
    <n v="83.135703969999994"/>
    <n v="97.145843009999993"/>
    <n v="0"/>
    <n v="0"/>
    <n v="135"/>
    <n v="275"/>
    <n v="275"/>
    <n v="29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39398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AX1)"/>
    <s v="38D20H"/>
    <n v="1"/>
    <s v="DR"/>
    <s v="D"/>
    <s v="Y"/>
    <s v="Y"/>
    <x v="7"/>
    <s v="GAOMING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0.32"/>
    <n v="371.21"/>
    <n v="540.07000000000005"/>
    <n v="623.25"/>
    <n v="0"/>
    <n v="0"/>
    <n v="490.32"/>
    <n v="371.21"/>
    <n v="540.07000000000005"/>
    <n v="623.25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2H"/>
    <n v="799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61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7D0H"/>
    <n v="1"/>
    <s v="DR"/>
    <s v="D"/>
    <s v="Y"/>
    <s v="Y"/>
    <x v="7"/>
    <s v="GAOMING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86"/>
    <n v="349.7"/>
    <n v="518.79"/>
    <n v="629.45000000000005"/>
    <n v="0"/>
    <n v="0"/>
    <n v="480.86"/>
    <n v="349.7"/>
    <n v="518.79"/>
    <n v="629.45000000000005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5D6H"/>
    <n v="758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61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7D0H"/>
    <n v="3"/>
    <s v="DR"/>
    <s v="D"/>
    <s v="Y"/>
    <s v="Y"/>
    <x v="7"/>
    <s v="GAOMING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2.85"/>
    <n v="494.41"/>
    <n v="663.49"/>
    <n v="778.77"/>
    <n v="0"/>
    <n v="0"/>
    <n v="582.85"/>
    <n v="494.41"/>
    <n v="663.49"/>
    <n v="778.77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5D6H"/>
    <n v="773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61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8D14H"/>
    <n v="1"/>
    <s v="DR"/>
    <s v="D"/>
    <s v="Y"/>
    <s v="Y"/>
    <x v="7"/>
    <s v="GAOMING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1.87"/>
    <n v="289.44"/>
    <n v="458.31"/>
    <n v="548.83000000000004"/>
    <n v="0"/>
    <n v="0"/>
    <n v="441.87"/>
    <n v="289.44"/>
    <n v="458.31"/>
    <n v="548.83000000000004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6D21H"/>
    <n v="790"/>
    <s v="2018-09-29"/>
    <s v="Historical averaged cost."/>
    <n v="110.87472"/>
    <n v="166.13449"/>
    <n v="166.13449"/>
    <n v="183.10584"/>
    <n v="0"/>
    <n v="0"/>
    <n v="53.510550000000002"/>
    <n v="82.813940000000002"/>
    <n v="82.813940000000002"/>
    <n v="82.81394000000000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61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9D5H"/>
    <n v="1"/>
    <s v="DR"/>
    <s v="D"/>
    <s v="Y"/>
    <s v="Y"/>
    <x v="7"/>
    <s v="GAOMING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97"/>
    <n v="355.76"/>
    <n v="524.63"/>
    <n v="598.32000000000005"/>
    <n v="0"/>
    <n v="0"/>
    <n v="480.97"/>
    <n v="355.76"/>
    <n v="524.63"/>
    <n v="598.32000000000005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12H"/>
    <n v="777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61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SPE)-SGSIN-(NX2)-KRPUS-(AX1)"/>
    <s v="52D15H"/>
    <n v="1"/>
    <s v="DR"/>
    <s v="D"/>
    <s v="Y"/>
    <s v="Y"/>
    <x v="63"/>
    <s v="GENERAL SANTOS"/>
    <x v="37"/>
    <s v="GENERAL SANTOS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6.88"/>
    <n v="1100.08"/>
    <n v="679.66"/>
    <n v="4574.99"/>
    <n v="0"/>
    <n v="0"/>
    <n v="556.88"/>
    <n v="1100.08"/>
    <n v="679.66"/>
    <n v="4574.99"/>
    <n v="0"/>
    <n v="0"/>
    <s v="PHGES"/>
    <n v="149.16301285399999"/>
    <n v="571.03858478699999"/>
    <n v="338.87530845200001"/>
    <n v="4018.7076725279999"/>
    <n v="0"/>
    <n v="0"/>
    <n v="149.16301285399999"/>
    <n v="571.03858478699999"/>
    <n v="338.87530845200001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6.7"/>
    <n v="753.7"/>
    <n v="758.7"/>
    <n v="0"/>
    <n v="0"/>
    <n v="0"/>
    <m/>
    <m/>
    <m/>
    <m/>
    <m/>
    <m/>
    <m/>
    <m/>
    <m/>
    <m/>
    <m/>
    <m/>
    <s v="SPE"/>
    <s v="AX1"/>
    <m/>
    <m/>
    <s v="S"/>
    <s v="51D3H"/>
    <n v="1165"/>
    <s v="2018-09-29"/>
    <s v="Historical averaged cost."/>
    <n v="30.805890000000002"/>
    <n v="43.708440000000003"/>
    <n v="43.708440000000003"/>
    <n v="43.70844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2450002"/>
    <s v="OPUS"/>
    <n v="122"/>
    <n v="244"/>
    <n v="244"/>
    <x v="0"/>
    <x v="0"/>
    <x v="0"/>
    <n v="60"/>
    <n v="120"/>
    <n v="120"/>
    <x v="0"/>
    <x v="0"/>
    <x v="0"/>
    <x v="11"/>
    <x v="11"/>
    <x v="11"/>
    <m/>
    <m/>
    <m/>
    <m/>
    <m/>
    <m/>
    <x v="14"/>
    <x v="14"/>
    <n v="4.696927908544426"/>
    <x v="3"/>
    <x v="3"/>
    <x v="3"/>
    <x v="24"/>
    <x v="26"/>
    <x v="26"/>
    <x v="0"/>
    <x v="0"/>
    <x v="0"/>
    <m/>
    <m/>
    <m/>
    <m/>
    <m/>
    <m/>
  </r>
  <r>
    <s v="LW"/>
    <s v="LWE"/>
    <s v="LWT"/>
    <s v="LW"/>
    <s v="AX1"/>
    <s v="E"/>
    <s v="(SPE)-SGSIN-(AGX)-KRPUS-(AX1)"/>
    <s v="52D15H"/>
    <n v="1"/>
    <s v="DR"/>
    <s v="D"/>
    <s v="Y"/>
    <s v="Y"/>
    <x v="63"/>
    <s v="GENERAL SANTOS"/>
    <x v="37"/>
    <s v="GENERAL SANTOS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6.88"/>
    <n v="1100.08"/>
    <n v="679.66"/>
    <n v="4574.99"/>
    <n v="0"/>
    <n v="0"/>
    <n v="556.88"/>
    <n v="1100.08"/>
    <n v="679.66"/>
    <n v="4574.99"/>
    <n v="0"/>
    <n v="0"/>
    <s v="PHGES"/>
    <n v="149.16301285399999"/>
    <n v="571.03858478699999"/>
    <n v="338.87530845200001"/>
    <n v="4018.7076725279999"/>
    <n v="0"/>
    <n v="0"/>
    <n v="149.16301285399999"/>
    <n v="571.03858478699999"/>
    <n v="338.87530845200001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6.7"/>
    <n v="753.7"/>
    <n v="758.7"/>
    <n v="0"/>
    <n v="0"/>
    <n v="0"/>
    <m/>
    <m/>
    <m/>
    <m/>
    <m/>
    <m/>
    <m/>
    <m/>
    <m/>
    <m/>
    <m/>
    <m/>
    <s v="SPE"/>
    <s v="AX1"/>
    <m/>
    <m/>
    <s v="S"/>
    <s v="51D3H"/>
    <n v="1165"/>
    <s v="2018-09-29"/>
    <s v="Historical averaged cost."/>
    <n v="30.805890000000002"/>
    <n v="43.708440000000003"/>
    <n v="43.708440000000003"/>
    <n v="43.70844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2450001"/>
    <s v="OPUS"/>
    <n v="122"/>
    <n v="244"/>
    <n v="244"/>
    <x v="0"/>
    <x v="0"/>
    <x v="0"/>
    <n v="60"/>
    <n v="120"/>
    <n v="120"/>
    <x v="0"/>
    <x v="0"/>
    <x v="0"/>
    <x v="11"/>
    <x v="11"/>
    <x v="11"/>
    <m/>
    <m/>
    <m/>
    <m/>
    <m/>
    <m/>
    <x v="14"/>
    <x v="14"/>
    <n v="4.696927908544426"/>
    <x v="3"/>
    <x v="3"/>
    <x v="3"/>
    <x v="24"/>
    <x v="26"/>
    <x v="26"/>
    <x v="0"/>
    <x v="0"/>
    <x v="0"/>
    <m/>
    <m/>
    <m/>
    <m/>
    <m/>
    <m/>
  </r>
  <r>
    <s v="LW"/>
    <s v="LWE"/>
    <s v="LWT"/>
    <s v="LW"/>
    <s v="AX1"/>
    <s v="E"/>
    <s v="(SPE)-SGSIN-(CSW)-KRPUS-(AX1)"/>
    <s v="52D15H"/>
    <n v="1"/>
    <s v="DR"/>
    <s v="D"/>
    <s v="Y"/>
    <s v="Y"/>
    <x v="63"/>
    <s v="GENERAL SANTOS"/>
    <x v="37"/>
    <s v="GENERAL SANTOS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7.55999999999995"/>
    <n v="1170.17"/>
    <n v="749.75"/>
    <n v="4647.3900000000003"/>
    <n v="0"/>
    <n v="0"/>
    <n v="607.55999999999995"/>
    <n v="1170.17"/>
    <n v="749.75"/>
    <n v="4647.3900000000003"/>
    <n v="0"/>
    <n v="0"/>
    <s v="PHGES"/>
    <n v="149.16301285399999"/>
    <n v="571.03858478699999"/>
    <n v="338.87530845200001"/>
    <n v="4018.7076725279999"/>
    <n v="0"/>
    <n v="0"/>
    <n v="149.16301285399999"/>
    <n v="571.03858478699999"/>
    <n v="338.87530845200001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6.7"/>
    <n v="753.7"/>
    <n v="758.7"/>
    <n v="0"/>
    <n v="0"/>
    <n v="0"/>
    <m/>
    <m/>
    <m/>
    <m/>
    <m/>
    <m/>
    <m/>
    <m/>
    <m/>
    <m/>
    <m/>
    <m/>
    <s v="SPE"/>
    <s v="AX1"/>
    <m/>
    <m/>
    <s v="S"/>
    <s v="51D3H"/>
    <n v="1165"/>
    <s v="2018-09-29"/>
    <s v="Historical averaged cost."/>
    <n v="30.805890000000002"/>
    <n v="43.708440000000003"/>
    <n v="43.708440000000003"/>
    <n v="43.70844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2450003"/>
    <s v="OPUS"/>
    <n v="122"/>
    <n v="244"/>
    <n v="244"/>
    <x v="0"/>
    <x v="0"/>
    <x v="0"/>
    <n v="60"/>
    <n v="120"/>
    <n v="120"/>
    <x v="0"/>
    <x v="0"/>
    <x v="0"/>
    <x v="11"/>
    <x v="11"/>
    <x v="11"/>
    <m/>
    <m/>
    <m/>
    <m/>
    <m/>
    <m/>
    <x v="14"/>
    <x v="14"/>
    <n v="4.696927908544426"/>
    <x v="3"/>
    <x v="3"/>
    <x v="3"/>
    <x v="24"/>
    <x v="26"/>
    <x v="26"/>
    <x v="0"/>
    <x v="0"/>
    <x v="0"/>
    <m/>
    <m/>
    <m/>
    <m/>
    <m/>
    <m/>
  </r>
  <r>
    <s v="LW"/>
    <s v="LWE"/>
    <s v="LWT"/>
    <s v="LW"/>
    <s v="AX1"/>
    <s v="E"/>
    <s v="(SPE)-SGSIN-(AR1)-KRPUS-(AX1)"/>
    <s v="52D15H"/>
    <n v="2"/>
    <s v="DR"/>
    <s v="D"/>
    <s v="Y"/>
    <s v="Y"/>
    <x v="63"/>
    <s v="GENERAL SANTOS"/>
    <x v="37"/>
    <s v="GENERAL SANTOS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6.88"/>
    <n v="1100.08"/>
    <n v="679.66"/>
    <n v="4574.99"/>
    <n v="0"/>
    <n v="0"/>
    <n v="556.88"/>
    <n v="1100.08"/>
    <n v="679.66"/>
    <n v="4574.99"/>
    <n v="0"/>
    <n v="0"/>
    <s v="PHGES"/>
    <n v="149.16301285399999"/>
    <n v="571.03858478699999"/>
    <n v="338.87530845200001"/>
    <n v="4018.7076725279999"/>
    <n v="0"/>
    <n v="0"/>
    <n v="149.16301285399999"/>
    <n v="571.03858478699999"/>
    <n v="338.87530845200001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6.7"/>
    <n v="753.7"/>
    <n v="758.7"/>
    <n v="0"/>
    <n v="0"/>
    <n v="0"/>
    <m/>
    <m/>
    <m/>
    <m/>
    <m/>
    <m/>
    <m/>
    <m/>
    <m/>
    <m/>
    <m/>
    <m/>
    <s v="SPE"/>
    <s v="AX1"/>
    <m/>
    <m/>
    <s v="S"/>
    <s v="51D3H"/>
    <n v="1165"/>
    <s v="2018-09-29"/>
    <s v="Historical averaged cost."/>
    <n v="30.805890000000002"/>
    <n v="43.708440000000003"/>
    <n v="43.708440000000003"/>
    <n v="43.70844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2450007"/>
    <s v="OPUS"/>
    <n v="122"/>
    <n v="244"/>
    <n v="244"/>
    <x v="0"/>
    <x v="0"/>
    <x v="0"/>
    <n v="60"/>
    <n v="120"/>
    <n v="120"/>
    <x v="0"/>
    <x v="0"/>
    <x v="0"/>
    <x v="11"/>
    <x v="11"/>
    <x v="11"/>
    <m/>
    <m/>
    <m/>
    <m/>
    <m/>
    <m/>
    <x v="14"/>
    <x v="14"/>
    <n v="4.696927908544426"/>
    <x v="3"/>
    <x v="3"/>
    <x v="3"/>
    <x v="24"/>
    <x v="26"/>
    <x v="26"/>
    <x v="0"/>
    <x v="0"/>
    <x v="0"/>
    <m/>
    <m/>
    <m/>
    <m/>
    <m/>
    <m/>
  </r>
  <r>
    <s v="LW"/>
    <s v="LWE"/>
    <s v="LWT"/>
    <s v="LW"/>
    <s v="AX1"/>
    <s v="E"/>
    <s v="(SPE)-SGSIN-(MD3)-KRPUS-(AX1)"/>
    <s v="59D15H"/>
    <n v="1"/>
    <s v="DR"/>
    <s v="D"/>
    <s v="Y"/>
    <s v="Y"/>
    <x v="63"/>
    <s v="GENERAL SANTOS"/>
    <x v="37"/>
    <s v="GENERAL SANTOS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6.67999999999995"/>
    <n v="1114.6400000000001"/>
    <n v="693.45"/>
    <n v="4597.6000000000004"/>
    <n v="0"/>
    <n v="0"/>
    <n v="566.67999999999995"/>
    <n v="1114.6400000000001"/>
    <n v="693.45"/>
    <n v="4597.6000000000004"/>
    <n v="0"/>
    <n v="0"/>
    <s v="PHGES"/>
    <n v="149.16301285399999"/>
    <n v="571.03858478699999"/>
    <n v="338.87530845200001"/>
    <n v="4018.7076725279999"/>
    <n v="0"/>
    <n v="0"/>
    <n v="149.16301285399999"/>
    <n v="571.03858478699999"/>
    <n v="338.87530845200001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6.7"/>
    <n v="753.7"/>
    <n v="758.7"/>
    <n v="0"/>
    <n v="0"/>
    <n v="0"/>
    <m/>
    <m/>
    <m/>
    <m/>
    <m/>
    <m/>
    <m/>
    <m/>
    <m/>
    <m/>
    <m/>
    <m/>
    <s v="SPE"/>
    <s v="AX1"/>
    <m/>
    <m/>
    <s v="S"/>
    <s v="58D3H"/>
    <n v="1333"/>
    <s v="2018-09-29"/>
    <s v="Historical averaged cost."/>
    <n v="30.805890000000002"/>
    <n v="43.708440000000003"/>
    <n v="43.708440000000003"/>
    <n v="43.70844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2450004"/>
    <s v="OPUS"/>
    <n v="122"/>
    <n v="244"/>
    <n v="244"/>
    <x v="0"/>
    <x v="0"/>
    <x v="0"/>
    <n v="60"/>
    <n v="120"/>
    <n v="120"/>
    <x v="0"/>
    <x v="0"/>
    <x v="0"/>
    <x v="11"/>
    <x v="11"/>
    <x v="11"/>
    <m/>
    <m/>
    <m/>
    <m/>
    <m/>
    <m/>
    <x v="14"/>
    <x v="14"/>
    <n v="4.696927908544426"/>
    <x v="3"/>
    <x v="3"/>
    <x v="3"/>
    <x v="24"/>
    <x v="26"/>
    <x v="26"/>
    <x v="0"/>
    <x v="0"/>
    <x v="0"/>
    <m/>
    <m/>
    <m/>
    <m/>
    <m/>
    <m/>
  </r>
  <r>
    <s v="LW"/>
    <s v="LWE"/>
    <s v="LWT"/>
    <s v="LW"/>
    <s v="AX1"/>
    <s v="E"/>
    <s v="(SPE)-SGSIN-(MD2)-KRPUS-(AX1)"/>
    <s v="52D15H"/>
    <n v="1"/>
    <s v="DR"/>
    <s v="D"/>
    <s v="Y"/>
    <s v="Y"/>
    <x v="63"/>
    <s v="GENERAL SANTOS"/>
    <x v="37"/>
    <s v="GENERAL SANTOS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6.88"/>
    <n v="1100.08"/>
    <n v="679.66"/>
    <n v="4574.99"/>
    <n v="0"/>
    <n v="0"/>
    <n v="556.88"/>
    <n v="1100.08"/>
    <n v="679.66"/>
    <n v="4574.99"/>
    <n v="0"/>
    <n v="0"/>
    <s v="PHGES"/>
    <n v="149.16301285399999"/>
    <n v="571.03858478699999"/>
    <n v="338.87530845200001"/>
    <n v="4018.7076725279999"/>
    <n v="0"/>
    <n v="0"/>
    <n v="149.16301285399999"/>
    <n v="571.03858478699999"/>
    <n v="338.87530845200001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6.7"/>
    <n v="753.7"/>
    <n v="758.7"/>
    <n v="0"/>
    <n v="0"/>
    <n v="0"/>
    <m/>
    <m/>
    <m/>
    <m/>
    <m/>
    <m/>
    <m/>
    <m/>
    <m/>
    <m/>
    <m/>
    <m/>
    <s v="SPE"/>
    <s v="AX1"/>
    <m/>
    <m/>
    <s v="S"/>
    <s v="51D3H"/>
    <n v="1165"/>
    <s v="2018-09-29"/>
    <s v="Historical averaged cost."/>
    <n v="30.805890000000002"/>
    <n v="43.708440000000003"/>
    <n v="43.708440000000003"/>
    <n v="43.70844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2450005"/>
    <s v="OPUS"/>
    <n v="122"/>
    <n v="244"/>
    <n v="244"/>
    <x v="0"/>
    <x v="0"/>
    <x v="0"/>
    <n v="60"/>
    <n v="120"/>
    <n v="120"/>
    <x v="0"/>
    <x v="0"/>
    <x v="0"/>
    <x v="11"/>
    <x v="11"/>
    <x v="11"/>
    <m/>
    <m/>
    <m/>
    <m/>
    <m/>
    <m/>
    <x v="14"/>
    <x v="14"/>
    <n v="4.696927908544426"/>
    <x v="3"/>
    <x v="3"/>
    <x v="3"/>
    <x v="24"/>
    <x v="26"/>
    <x v="26"/>
    <x v="0"/>
    <x v="0"/>
    <x v="0"/>
    <m/>
    <m/>
    <m/>
    <m/>
    <m/>
    <m/>
  </r>
  <r>
    <s v="LW"/>
    <s v="LWE"/>
    <s v="LWT"/>
    <s v="LW"/>
    <s v="AX1"/>
    <s v="E"/>
    <s v="(SPE)-SGSIN-(KME)-KRPUS-(AX1)"/>
    <s v="59D15H"/>
    <n v="1"/>
    <s v="DR"/>
    <s v="D"/>
    <s v="Y"/>
    <s v="Y"/>
    <x v="63"/>
    <s v="GENERAL SANTOS"/>
    <x v="37"/>
    <s v="GENERAL SANTOS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0.61"/>
    <n v="1191.8699999999999"/>
    <n v="770.68"/>
    <n v="4682.7"/>
    <n v="0"/>
    <n v="0"/>
    <n v="620.61"/>
    <n v="1191.8699999999999"/>
    <n v="770.68"/>
    <n v="4682.7"/>
    <n v="0"/>
    <n v="0"/>
    <s v="PHGES"/>
    <n v="149.16301285399999"/>
    <n v="571.03858478699999"/>
    <n v="338.87530845200001"/>
    <n v="4018.7076725279999"/>
    <n v="0"/>
    <n v="0"/>
    <n v="149.16301285399999"/>
    <n v="571.03858478699999"/>
    <n v="338.87530845200001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6.7"/>
    <n v="753.7"/>
    <n v="758.7"/>
    <n v="0"/>
    <n v="0"/>
    <n v="0"/>
    <m/>
    <m/>
    <m/>
    <m/>
    <m/>
    <m/>
    <m/>
    <m/>
    <m/>
    <m/>
    <m/>
    <m/>
    <s v="SPE"/>
    <s v="AX1"/>
    <m/>
    <m/>
    <s v="S"/>
    <s v="58D3H"/>
    <n v="1333"/>
    <s v="2018-09-29"/>
    <s v="Historical averaged cost."/>
    <n v="30.805890000000002"/>
    <n v="43.708440000000003"/>
    <n v="43.708440000000003"/>
    <n v="43.70844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2450006"/>
    <s v="OPUS"/>
    <n v="122"/>
    <n v="244"/>
    <n v="244"/>
    <x v="0"/>
    <x v="0"/>
    <x v="0"/>
    <n v="60"/>
    <n v="120"/>
    <n v="120"/>
    <x v="0"/>
    <x v="0"/>
    <x v="0"/>
    <x v="11"/>
    <x v="11"/>
    <x v="11"/>
    <m/>
    <m/>
    <m/>
    <m/>
    <m/>
    <m/>
    <x v="14"/>
    <x v="14"/>
    <n v="4.696927908544426"/>
    <x v="3"/>
    <x v="3"/>
    <x v="3"/>
    <x v="24"/>
    <x v="26"/>
    <x v="26"/>
    <x v="0"/>
    <x v="0"/>
    <x v="0"/>
    <m/>
    <m/>
    <m/>
    <m/>
    <m/>
    <m/>
  </r>
  <r>
    <s v="LW"/>
    <s v="LWE"/>
    <s v="LWT"/>
    <s v="LW"/>
    <s v="AX1"/>
    <s v="E"/>
    <s v="(VH2)-HKHKG-(AX1)"/>
    <s v="44D15H"/>
    <n v="2"/>
    <s v="DR"/>
    <s v="D"/>
    <s v="Y"/>
    <s v="Y"/>
    <x v="36"/>
    <s v="HAIPHONG"/>
    <x v="24"/>
    <s v="HAIPH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91"/>
    <n v="751.64"/>
    <n v="565.73"/>
    <n v="871.25"/>
    <n v="0"/>
    <n v="0"/>
    <n v="385.91"/>
    <n v="751.64"/>
    <n v="565.73"/>
    <n v="871.25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VH2"/>
    <s v="AX1"/>
    <m/>
    <m/>
    <s v="S"/>
    <s v="43D3H"/>
    <n v="1013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280005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2"/>
    <s v="E"/>
    <s v="(VH2)-HKHKG-(AX2)"/>
    <s v="40D3H"/>
    <n v="1"/>
    <s v="DR"/>
    <s v="D"/>
    <s v="Y"/>
    <s v="Y"/>
    <x v="36"/>
    <s v="HAIPHONG"/>
    <x v="24"/>
    <s v="HAIPH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2.25"/>
    <n v="723.89"/>
    <n v="538.54"/>
    <n v="867.76"/>
    <n v="0"/>
    <n v="0"/>
    <n v="372.25"/>
    <n v="723.89"/>
    <n v="538.54"/>
    <n v="867.76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VH2"/>
    <s v="AX2"/>
    <m/>
    <m/>
    <s v="S"/>
    <s v="38D15H"/>
    <n v="905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28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1"/>
    <s v="E"/>
    <s v="(VH3)-HKHKG-(AX1)"/>
    <s v="41D15H"/>
    <n v="1"/>
    <s v="DR"/>
    <s v="D"/>
    <s v="Y"/>
    <s v="Y"/>
    <x v="36"/>
    <s v="HAIPHONG"/>
    <x v="24"/>
    <s v="HAIPH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1.71"/>
    <n v="745.4"/>
    <n v="559.82000000000005"/>
    <n v="861.56"/>
    <n v="0"/>
    <n v="0"/>
    <n v="381.71"/>
    <n v="745.4"/>
    <n v="559.82000000000005"/>
    <n v="861.56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VH3"/>
    <s v="AX1"/>
    <m/>
    <m/>
    <s v="S"/>
    <s v="40D4H"/>
    <n v="943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28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2"/>
    <s v="E"/>
    <s v="(VH3)-HKHKG-(AX2)"/>
    <s v="37D3H"/>
    <n v="2"/>
    <s v="DR"/>
    <s v="D"/>
    <s v="Y"/>
    <s v="Y"/>
    <x v="36"/>
    <s v="HAIPHONG"/>
    <x v="24"/>
    <s v="HAIPH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8.05"/>
    <n v="717.65"/>
    <n v="532.63"/>
    <n v="858.07"/>
    <n v="0"/>
    <n v="0"/>
    <n v="368.05"/>
    <n v="717.65"/>
    <n v="532.63"/>
    <n v="858.07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VH3"/>
    <s v="AX2"/>
    <m/>
    <m/>
    <s v="S"/>
    <s v="35D16H"/>
    <n v="835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280004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1"/>
    <s v="E"/>
    <s v="(VH2)-CNYTN-(AX1)"/>
    <s v="44D15H"/>
    <n v="1"/>
    <s v="DR"/>
    <s v="D"/>
    <s v="Y"/>
    <s v="Y"/>
    <x v="36"/>
    <s v="HAIPHONG"/>
    <x v="24"/>
    <s v="HAIPH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4.54000000000002"/>
    <n v="658.13"/>
    <n v="472.23"/>
    <n v="768.26"/>
    <n v="0"/>
    <n v="0"/>
    <n v="324.54000000000002"/>
    <n v="658.13"/>
    <n v="472.23"/>
    <n v="768.26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VH2"/>
    <s v="AX1"/>
    <m/>
    <m/>
    <s v="S"/>
    <s v="43D3H"/>
    <n v="1013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28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2"/>
    <s v="E"/>
    <s v="(TVH)-CNSHK-(AX2)"/>
    <s v="49D10H"/>
    <n v="2"/>
    <s v="DR"/>
    <s v="D"/>
    <s v="Y"/>
    <s v="Y"/>
    <x v="36"/>
    <s v="HAIPHONG"/>
    <x v="24"/>
    <s v="HAIPH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1.21"/>
    <n v="841.35"/>
    <n v="655.09"/>
    <n v="989.72"/>
    <n v="0"/>
    <n v="0"/>
    <n v="451.21"/>
    <n v="841.35"/>
    <n v="655.09"/>
    <n v="989.72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TVH"/>
    <s v="AX2"/>
    <m/>
    <m/>
    <s v="S"/>
    <s v="47D22H"/>
    <n v="1104"/>
    <s v="2018-09-29"/>
    <s v="Historical averaged cost."/>
    <n v="56.470999999999997"/>
    <n v="81.516000000000005"/>
    <n v="81.335999999999999"/>
    <n v="90.506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12.97744994000001"/>
    <n v="319.11297961999998"/>
    <n v="319.11297961999998"/>
    <n v="353.05567237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280006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1"/>
    <s v="E"/>
    <s v="(JS2)-HKHKG-(AX1)"/>
    <s v="52D6H"/>
    <n v="1"/>
    <s v="DR"/>
    <s v="D"/>
    <s v="Y"/>
    <s v="Y"/>
    <x v="8"/>
    <s v="HO CHI MINH"/>
    <x v="12"/>
    <s v="CAI MEP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8.7"/>
    <n v="705.64"/>
    <n v="500.94"/>
    <n v="802.58"/>
    <n v="0"/>
    <n v="0"/>
    <n v="448.7"/>
    <n v="705.64"/>
    <n v="500.94"/>
    <n v="802.58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JS2"/>
    <s v="AX1"/>
    <s v="F"/>
    <m/>
    <s v="S"/>
    <s v="50D12H"/>
    <n v="1124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830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1"/>
    <s v="E"/>
    <s v="(JT1)-KRPUS-(AX1)"/>
    <s v="45D22H"/>
    <n v="1"/>
    <s v="DR"/>
    <s v="D"/>
    <s v="Y"/>
    <s v="Y"/>
    <x v="8"/>
    <s v="HO CHI MINH"/>
    <x v="12"/>
    <s v="CAI MEP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9.93"/>
    <n v="623.72"/>
    <n v="419.69"/>
    <n v="675.21"/>
    <n v="0"/>
    <n v="0"/>
    <n v="399.93"/>
    <n v="623.72"/>
    <n v="419.69"/>
    <n v="675.21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JT1"/>
    <s v="AX1"/>
    <s v="F"/>
    <m/>
    <s v="S"/>
    <s v="44D4H"/>
    <n v="896"/>
    <s v="2018-09-29"/>
    <s v="Historical averaged cost."/>
    <n v="37.5"/>
    <n v="55.5"/>
    <n v="55.5"/>
    <n v="60.5"/>
    <n v="0"/>
    <n v="0"/>
    <n v="29"/>
    <n v="58"/>
    <n v="58"/>
    <n v="72.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830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2"/>
    <s v="E"/>
    <s v="(JS2)-HKHKG-(AX2)-KRPUS-(AX2)"/>
    <s v="54D18H"/>
    <n v="3"/>
    <s v="DR"/>
    <s v="D"/>
    <s v="Y"/>
    <s v="Y"/>
    <x v="8"/>
    <s v="HO CHI MINH"/>
    <x v="12"/>
    <s v="CAI MEP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23"/>
    <n v="839.24"/>
    <n v="634.21"/>
    <n v="974.25"/>
    <n v="0"/>
    <n v="0"/>
    <n v="548.23"/>
    <n v="839.24"/>
    <n v="634.21"/>
    <n v="974.25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JS2"/>
    <s v="AX2"/>
    <s v="F"/>
    <m/>
    <s v="T"/>
    <s v="53D0H"/>
    <n v="1184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47.68135774999999"/>
    <n v="364.70254061999998"/>
    <n v="364.70254061999998"/>
    <n v="408.94982126000002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8300005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1"/>
    <s v="E"/>
    <s v="(PN2)-CNYTN-(AX1)"/>
    <s v="44D7H"/>
    <n v="2"/>
    <s v="DR"/>
    <s v="D"/>
    <s v="Y"/>
    <s v="Y"/>
    <x v="8"/>
    <s v="HO CHI MINH"/>
    <x v="12"/>
    <s v="CAI MEP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6.13"/>
    <n v="595.49"/>
    <n v="391.68"/>
    <n v="673.75"/>
    <n v="0"/>
    <n v="0"/>
    <n v="376.13"/>
    <n v="595.49"/>
    <n v="391.68"/>
    <n v="673.75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PN2"/>
    <s v="AX1"/>
    <s v="F"/>
    <m/>
    <s v="S"/>
    <s v="42D14H"/>
    <n v="910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8300004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2"/>
    <s v="E"/>
    <s v="(JS2)-HKHKG-(AX2)"/>
    <s v="54D18H"/>
    <n v="1"/>
    <s v="DR"/>
    <s v="D"/>
    <s v="Y"/>
    <s v="Y"/>
    <x v="8"/>
    <s v="HO CHI MINH"/>
    <x v="12"/>
    <s v="CAI MEP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6.24"/>
    <n v="694.54"/>
    <n v="489.51"/>
    <n v="824.93"/>
    <n v="0"/>
    <n v="0"/>
    <n v="446.24"/>
    <n v="694.54"/>
    <n v="489.51"/>
    <n v="824.93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JS2"/>
    <s v="AX2"/>
    <s v="F"/>
    <m/>
    <s v="S"/>
    <s v="53D0H"/>
    <n v="1184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830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1"/>
    <s v="E"/>
    <s v="(JV2)-JPOSA-(AUJ)-KRPUS-(AX1)"/>
    <s v="44D12H"/>
    <n v="1"/>
    <s v="DR"/>
    <s v="D"/>
    <s v="Y"/>
    <s v="Y"/>
    <x v="8"/>
    <s v="HO CHI MINH"/>
    <x v="25"/>
    <s v="HO CHI MINH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0.31"/>
    <n v="1113.8800000000001"/>
    <n v="909.95"/>
    <n v="987.79"/>
    <n v="0"/>
    <n v="0"/>
    <n v="740.31"/>
    <n v="1113.8800000000001"/>
    <n v="909.95"/>
    <n v="987.79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6.47"/>
    <n v="638.26"/>
    <n v="638.26"/>
    <n v="0"/>
    <n v="0"/>
    <n v="0"/>
    <m/>
    <m/>
    <m/>
    <m/>
    <m/>
    <m/>
    <m/>
    <m/>
    <m/>
    <m/>
    <m/>
    <m/>
    <s v="JV2"/>
    <s v="AX1"/>
    <m/>
    <m/>
    <s v="S"/>
    <s v="43D0H"/>
    <n v="983"/>
    <s v="2018-09-29"/>
    <s v="Historical averaged cost."/>
    <n v="41"/>
    <n v="62"/>
    <n v="62"/>
    <n v="75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70.94869899999998"/>
    <n v="690.73221226999999"/>
    <n v="690.73221226999999"/>
    <n v="520.8038422800000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8300008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3"/>
    <x v="3"/>
    <x v="5"/>
    <x v="5"/>
    <x v="5"/>
    <x v="1"/>
    <x v="1"/>
    <x v="1"/>
    <m/>
    <m/>
    <m/>
    <m/>
    <m/>
    <m/>
  </r>
  <r>
    <s v="LW"/>
    <s v="LWE"/>
    <s v="LWT"/>
    <s v="LW"/>
    <s v="AX1"/>
    <s v="E"/>
    <s v="(AX1)"/>
    <s v="36D23H"/>
    <n v="1"/>
    <s v="DR"/>
    <s v="D"/>
    <s v="Y"/>
    <s v="Y"/>
    <x v="9"/>
    <s v="HONG K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51.41"/>
    <n v="520.14"/>
    <n v="303.77"/>
    <n v="653.62"/>
    <n v="0"/>
    <n v="0"/>
    <n v="251.41"/>
    <n v="520.14"/>
    <n v="303.77"/>
    <n v="653.62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630.46"/>
    <n v="903.55"/>
    <n v="903.55"/>
    <n v="0"/>
    <n v="0"/>
    <n v="0"/>
    <m/>
    <m/>
    <m/>
    <m/>
    <m/>
    <m/>
    <m/>
    <m/>
    <m/>
    <m/>
    <m/>
    <m/>
    <s v="AX1"/>
    <s v="AX1"/>
    <m/>
    <m/>
    <s v="S"/>
    <s v="35D11H"/>
    <n v="800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380009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3"/>
    <x v="3"/>
    <x v="3"/>
    <x v="6"/>
    <x v="6"/>
    <x v="6"/>
    <x v="0"/>
    <x v="0"/>
    <x v="0"/>
    <m/>
    <m/>
    <m/>
    <m/>
    <m/>
    <m/>
  </r>
  <r>
    <s v="LW"/>
    <s v="LWE"/>
    <s v="LWT"/>
    <s v="LW"/>
    <s v="AX2"/>
    <s v="E"/>
    <s v="(CSW)-KRPUS-(AX2)"/>
    <s v="35D3H"/>
    <n v="3"/>
    <s v="DR"/>
    <s v="D"/>
    <s v="Y"/>
    <s v="Y"/>
    <x v="9"/>
    <s v="HONG K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3.94"/>
    <n v="643.34"/>
    <n v="427.19"/>
    <n v="809.14"/>
    <n v="0"/>
    <n v="0"/>
    <n v="343.94"/>
    <n v="643.34"/>
    <n v="427.19"/>
    <n v="809.14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630.46"/>
    <n v="903.55"/>
    <n v="903.55"/>
    <n v="0"/>
    <n v="0"/>
    <n v="0"/>
    <m/>
    <m/>
    <m/>
    <m/>
    <m/>
    <m/>
    <m/>
    <m/>
    <m/>
    <m/>
    <m/>
    <m/>
    <s v="CSW"/>
    <s v="AX2"/>
    <m/>
    <m/>
    <s v="T"/>
    <s v="33D15H"/>
    <n v="773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380011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3"/>
    <x v="3"/>
    <x v="3"/>
    <x v="6"/>
    <x v="6"/>
    <x v="6"/>
    <x v="0"/>
    <x v="0"/>
    <x v="0"/>
    <m/>
    <m/>
    <m/>
    <m/>
    <m/>
    <m/>
  </r>
  <r>
    <s v="LW"/>
    <s v="LWE"/>
    <s v="LWT"/>
    <s v="LW"/>
    <s v="AX2"/>
    <s v="E"/>
    <s v="(AX2)"/>
    <s v="35D3H"/>
    <n v="1"/>
    <s v="DR"/>
    <s v="D"/>
    <s v="Y"/>
    <s v="Y"/>
    <x v="9"/>
    <s v="HONG K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41.95"/>
    <n v="498.64"/>
    <n v="282.49"/>
    <n v="659.81"/>
    <n v="0"/>
    <n v="0"/>
    <n v="241.95"/>
    <n v="498.64"/>
    <n v="282.49"/>
    <n v="659.81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630.46"/>
    <n v="903.55"/>
    <n v="903.55"/>
    <n v="0"/>
    <n v="0"/>
    <n v="0"/>
    <m/>
    <m/>
    <m/>
    <m/>
    <m/>
    <m/>
    <m/>
    <m/>
    <m/>
    <m/>
    <m/>
    <m/>
    <s v="AX2"/>
    <s v="AX2"/>
    <m/>
    <m/>
    <s v="S"/>
    <s v="33D15H"/>
    <n v="758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380010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3"/>
    <x v="3"/>
    <x v="3"/>
    <x v="6"/>
    <x v="6"/>
    <x v="6"/>
    <x v="0"/>
    <x v="0"/>
    <x v="0"/>
    <m/>
    <m/>
    <m/>
    <m/>
    <m/>
    <m/>
  </r>
  <r>
    <s v="LW"/>
    <s v="LWE"/>
    <s v="LWT"/>
    <s v="LW"/>
    <s v="AX2"/>
    <s v="E"/>
    <s v="(AX2)"/>
    <s v="36D9H"/>
    <n v="1"/>
    <s v="DR"/>
    <s v="D"/>
    <s v="Y"/>
    <s v="Y"/>
    <x v="10"/>
    <s v="HUANGP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1.34"/>
    <n v="440.38"/>
    <n v="371.76"/>
    <n v="943.6"/>
    <n v="0"/>
    <n v="0"/>
    <n v="371.34"/>
    <n v="440.38"/>
    <n v="371.76"/>
    <n v="943.6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4D15H"/>
    <n v="758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569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6D9H"/>
    <n v="3"/>
    <s v="DR"/>
    <s v="D"/>
    <s v="Y"/>
    <s v="Y"/>
    <x v="10"/>
    <s v="HUANGP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3.33"/>
    <n v="585.08000000000004"/>
    <n v="516.46"/>
    <n v="1092.92"/>
    <n v="0"/>
    <n v="0"/>
    <n v="473.33"/>
    <n v="585.08000000000004"/>
    <n v="516.46"/>
    <n v="1092.92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4D15H"/>
    <n v="773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569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7D9H"/>
    <n v="1"/>
    <s v="DR"/>
    <s v="D"/>
    <s v="Y"/>
    <s v="Y"/>
    <x v="10"/>
    <s v="HUANGPU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6.03"/>
    <n v="423.34"/>
    <n v="354.61"/>
    <n v="892.68"/>
    <n v="0"/>
    <n v="0"/>
    <n v="356.03"/>
    <n v="423.34"/>
    <n v="354.61"/>
    <n v="892.68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5D16H"/>
    <n v="789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569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9D6H"/>
    <n v="1"/>
    <s v="DR"/>
    <s v="D"/>
    <s v="Y"/>
    <s v="Y"/>
    <x v="10"/>
    <s v="HUANGPU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4.58"/>
    <n v="391.75"/>
    <n v="322.8"/>
    <n v="877.68"/>
    <n v="0"/>
    <n v="0"/>
    <n v="344.58"/>
    <n v="391.75"/>
    <n v="322.8"/>
    <n v="877.68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7D13H"/>
    <n v="790"/>
    <s v="2018-09-29"/>
    <s v="Historical averaged cost."/>
    <n v="110.87472"/>
    <n v="166.13449"/>
    <n v="166.13449"/>
    <n v="183.10584"/>
    <n v="0"/>
    <n v="0"/>
    <n v="36.31073"/>
    <n v="61.154910000000001"/>
    <n v="61.154910000000001"/>
    <n v="76.44364000000000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569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5H"/>
    <n v="1"/>
    <s v="DR"/>
    <s v="D"/>
    <s v="Y"/>
    <s v="Y"/>
    <x v="10"/>
    <s v="HUANGP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0.8"/>
    <n v="461.88"/>
    <n v="393.04"/>
    <n v="937.4"/>
    <n v="0"/>
    <n v="0"/>
    <n v="380.8"/>
    <n v="461.88"/>
    <n v="393.04"/>
    <n v="937.4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1H"/>
    <n v="800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569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IPS)-KRPUS-(AX1)"/>
    <s v="41D16H"/>
    <n v="1"/>
    <s v="DR"/>
    <s v="D"/>
    <s v="Y"/>
    <s v="Y"/>
    <x v="11"/>
    <s v="JAKARTA"/>
    <x v="13"/>
    <s v="JAKAR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6.61"/>
    <n v="857.94"/>
    <n v="594.82000000000005"/>
    <n v="860.15"/>
    <n v="0"/>
    <n v="0"/>
    <n v="406.61"/>
    <n v="857.94"/>
    <n v="594.82000000000005"/>
    <n v="860.15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0.8"/>
    <n v="622.79999999999995"/>
    <n v="622.79999999999995"/>
    <n v="0"/>
    <n v="0"/>
    <n v="0"/>
    <m/>
    <m/>
    <m/>
    <m/>
    <m/>
    <m/>
    <m/>
    <m/>
    <m/>
    <m/>
    <m/>
    <m/>
    <s v="IPS"/>
    <s v="AX1"/>
    <m/>
    <m/>
    <s v="S"/>
    <s v="40D4H"/>
    <n v="930"/>
    <s v="2018-09-29"/>
    <s v="Historical averaged cost."/>
    <n v="83"/>
    <n v="124.5"/>
    <n v="124.5"/>
    <n v="155.6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420001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3"/>
    <x v="3"/>
    <x v="7"/>
    <x v="7"/>
    <x v="7"/>
    <x v="0"/>
    <x v="0"/>
    <x v="0"/>
    <m/>
    <m/>
    <m/>
    <m/>
    <m/>
    <m/>
  </r>
  <r>
    <s v="LW"/>
    <s v="LWE"/>
    <s v="LWT"/>
    <s v="LW"/>
    <s v="AX2"/>
    <s v="E"/>
    <s v="(JID)-SGSIN-(MD2)-KRPUS-(AX2)"/>
    <s v="51D2H"/>
    <n v="2"/>
    <s v="DR"/>
    <s v="D"/>
    <s v="Y"/>
    <s v="Y"/>
    <x v="11"/>
    <s v="JAKARTA"/>
    <x v="13"/>
    <s v="JAKAR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4.69000000000005"/>
    <n v="968.26"/>
    <n v="704.16"/>
    <n v="1007.37"/>
    <n v="0"/>
    <n v="0"/>
    <n v="524.69000000000005"/>
    <n v="968.26"/>
    <n v="704.16"/>
    <n v="1007.37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0.8"/>
    <n v="622.79999999999995"/>
    <n v="622.79999999999995"/>
    <n v="0"/>
    <n v="0"/>
    <n v="0"/>
    <m/>
    <m/>
    <m/>
    <m/>
    <m/>
    <m/>
    <m/>
    <m/>
    <m/>
    <m/>
    <m/>
    <m/>
    <s v="JID"/>
    <s v="AX2"/>
    <m/>
    <m/>
    <s v="S"/>
    <s v="49D14H"/>
    <n v="1137"/>
    <s v="2018-09-29"/>
    <s v="Historical averaged cost."/>
    <n v="84.396000000000001"/>
    <n v="126.595"/>
    <n v="126.595"/>
    <n v="157.715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420006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3"/>
    <x v="3"/>
    <x v="7"/>
    <x v="7"/>
    <x v="7"/>
    <x v="0"/>
    <x v="0"/>
    <x v="0"/>
    <m/>
    <m/>
    <m/>
    <m/>
    <m/>
    <m/>
  </r>
  <r>
    <s v="LW"/>
    <s v="LWE"/>
    <s v="LWT"/>
    <s v="LW"/>
    <s v="AX2"/>
    <s v="E"/>
    <s v="(IPS)-KRPUS-(AX2)"/>
    <s v="51D4H"/>
    <n v="2"/>
    <s v="DR"/>
    <s v="D"/>
    <s v="Y"/>
    <s v="Y"/>
    <x v="11"/>
    <s v="JAKARTA"/>
    <x v="13"/>
    <s v="JAKAR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0.07"/>
    <n v="855.87"/>
    <n v="591.77"/>
    <n v="900.74"/>
    <n v="0"/>
    <n v="0"/>
    <n v="410.07"/>
    <n v="855.87"/>
    <n v="591.77"/>
    <n v="900.74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0.8"/>
    <n v="622.79999999999995"/>
    <n v="622.79999999999995"/>
    <n v="0"/>
    <n v="0"/>
    <n v="0"/>
    <m/>
    <m/>
    <m/>
    <m/>
    <m/>
    <m/>
    <m/>
    <m/>
    <m/>
    <m/>
    <m/>
    <m/>
    <s v="IPS"/>
    <s v="AX2"/>
    <m/>
    <m/>
    <s v="S"/>
    <s v="49D16H"/>
    <n v="1158"/>
    <s v="2018-09-29"/>
    <s v="Historical averaged cost."/>
    <n v="83"/>
    <n v="124.5"/>
    <n v="124.5"/>
    <n v="155.6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89.35736"/>
    <n v="255.02028195"/>
    <n v="255.02028195"/>
    <n v="263.09893649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420002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3"/>
    <x v="3"/>
    <x v="7"/>
    <x v="7"/>
    <x v="7"/>
    <x v="0"/>
    <x v="0"/>
    <x v="0"/>
    <m/>
    <m/>
    <m/>
    <m/>
    <m/>
    <m/>
  </r>
  <r>
    <s v="LW"/>
    <s v="LWE"/>
    <s v="LWT"/>
    <s v="LW"/>
    <s v="AX2"/>
    <s v="E"/>
    <s v="(TI1)-SGSIN-(NX2)-KRPUS-(AX2)"/>
    <s v="45D12H"/>
    <n v="2"/>
    <s v="DR"/>
    <s v="D"/>
    <s v="Y"/>
    <s v="Y"/>
    <x v="11"/>
    <s v="JAKARTA"/>
    <x v="13"/>
    <s v="JAKAR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7.99"/>
    <n v="943.32"/>
    <n v="679.76"/>
    <n v="973.11"/>
    <n v="0"/>
    <n v="0"/>
    <n v="507.99"/>
    <n v="943.32"/>
    <n v="679.76"/>
    <n v="973.11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0.8"/>
    <n v="622.79999999999995"/>
    <n v="622.79999999999995"/>
    <n v="0"/>
    <n v="0"/>
    <n v="0"/>
    <m/>
    <m/>
    <m/>
    <m/>
    <m/>
    <m/>
    <m/>
    <m/>
    <m/>
    <m/>
    <m/>
    <m/>
    <s v="TI1"/>
    <s v="AX2"/>
    <m/>
    <m/>
    <s v="S"/>
    <s v="44D0H"/>
    <n v="1040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420003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3"/>
    <x v="3"/>
    <x v="7"/>
    <x v="7"/>
    <x v="7"/>
    <x v="0"/>
    <x v="0"/>
    <x v="0"/>
    <m/>
    <m/>
    <m/>
    <m/>
    <m/>
    <m/>
  </r>
  <r>
    <s v="LW"/>
    <s v="LWE"/>
    <s v="LWT"/>
    <s v="LW"/>
    <s v="AX2"/>
    <s v="E"/>
    <s v="(TI1)-SGSIN-(MD3)-KRPUS-(AX2)"/>
    <s v="45D12H"/>
    <n v="2"/>
    <s v="DR"/>
    <s v="D"/>
    <s v="Y"/>
    <s v="Y"/>
    <x v="11"/>
    <s v="JAKARTA"/>
    <x v="13"/>
    <s v="JAKAR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7.99"/>
    <n v="943.32"/>
    <n v="679.76"/>
    <n v="973.11"/>
    <n v="0"/>
    <n v="0"/>
    <n v="507.99"/>
    <n v="943.32"/>
    <n v="679.76"/>
    <n v="973.11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0.8"/>
    <n v="622.79999999999995"/>
    <n v="622.79999999999995"/>
    <n v="0"/>
    <n v="0"/>
    <n v="0"/>
    <m/>
    <m/>
    <m/>
    <m/>
    <m/>
    <m/>
    <m/>
    <m/>
    <m/>
    <m/>
    <m/>
    <m/>
    <s v="TI1"/>
    <s v="AX2"/>
    <m/>
    <m/>
    <s v="S"/>
    <s v="44D0H"/>
    <n v="1040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420004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3"/>
    <x v="3"/>
    <x v="7"/>
    <x v="7"/>
    <x v="7"/>
    <x v="0"/>
    <x v="0"/>
    <x v="0"/>
    <m/>
    <m/>
    <m/>
    <m/>
    <m/>
    <m/>
  </r>
  <r>
    <s v="LW"/>
    <s v="LWE"/>
    <s v="LWT"/>
    <s v="LW"/>
    <s v="AX2"/>
    <s v="E"/>
    <s v="(TI1)-SGSIN-(MD2)-KRPUS-(AX2)"/>
    <s v="52D12H"/>
    <n v="2"/>
    <s v="DR"/>
    <s v="D"/>
    <s v="Y"/>
    <s v="Y"/>
    <x v="11"/>
    <s v="JAKARTA"/>
    <x v="13"/>
    <s v="JAKART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7.79"/>
    <n v="957.88"/>
    <n v="693.55"/>
    <n v="995.72"/>
    <n v="0"/>
    <n v="0"/>
    <n v="517.79"/>
    <n v="957.88"/>
    <n v="693.55"/>
    <n v="995.72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90.8"/>
    <n v="622.79999999999995"/>
    <n v="622.79999999999995"/>
    <n v="0"/>
    <n v="0"/>
    <n v="0"/>
    <m/>
    <m/>
    <m/>
    <m/>
    <m/>
    <m/>
    <m/>
    <m/>
    <m/>
    <m/>
    <m/>
    <m/>
    <s v="TI1"/>
    <s v="AX2"/>
    <m/>
    <m/>
    <s v="S"/>
    <s v="51D0H"/>
    <n v="1208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420005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3"/>
    <x v="3"/>
    <x v="7"/>
    <x v="7"/>
    <x v="7"/>
    <x v="0"/>
    <x v="0"/>
    <x v="0"/>
    <m/>
    <m/>
    <m/>
    <m/>
    <m/>
    <m/>
  </r>
  <r>
    <s v="LW"/>
    <s v="LWE"/>
    <s v="LWT"/>
    <s v="LW"/>
    <s v="AX2"/>
    <s v="E"/>
    <s v="(AX2)"/>
    <s v="37D9H"/>
    <n v="1"/>
    <s v="DR"/>
    <s v="D"/>
    <s v="Y"/>
    <s v="Y"/>
    <x v="37"/>
    <s v="JIANGME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2"/>
    <n v="753.02"/>
    <n v="517.29999999999995"/>
    <n v="829.03"/>
    <n v="0"/>
    <n v="0"/>
    <n v="484.62"/>
    <n v="753.02"/>
    <n v="517.29999999999995"/>
    <n v="829.03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5D15H"/>
    <n v="758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512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7D9H"/>
    <n v="3"/>
    <s v="DR"/>
    <s v="D"/>
    <s v="Y"/>
    <s v="Y"/>
    <x v="37"/>
    <s v="JIANGME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6.61"/>
    <n v="897.73"/>
    <n v="662"/>
    <n v="978.36"/>
    <n v="0"/>
    <n v="0"/>
    <n v="586.61"/>
    <n v="897.73"/>
    <n v="662"/>
    <n v="978.36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5D15H"/>
    <n v="773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512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5H"/>
    <n v="1"/>
    <s v="DR"/>
    <s v="D"/>
    <s v="Y"/>
    <s v="Y"/>
    <x v="37"/>
    <s v="JIANGMEN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4.41"/>
    <n v="752.54"/>
    <n v="516.71"/>
    <n v="804.87"/>
    <n v="0"/>
    <n v="0"/>
    <n v="474.41"/>
    <n v="752.54"/>
    <n v="516.71"/>
    <n v="804.87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2H"/>
    <n v="789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512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9D5H"/>
    <n v="1"/>
    <s v="DR"/>
    <s v="D"/>
    <s v="Y"/>
    <s v="Y"/>
    <x v="37"/>
    <s v="JIANGME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4.08"/>
    <n v="774.53"/>
    <n v="538.58000000000004"/>
    <n v="822.83"/>
    <n v="0"/>
    <n v="0"/>
    <n v="494.08"/>
    <n v="774.53"/>
    <n v="538.58000000000004"/>
    <n v="822.83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11H"/>
    <n v="800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512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8D4H"/>
    <n v="1"/>
    <s v="DR"/>
    <s v="D"/>
    <s v="Y"/>
    <s v="Y"/>
    <x v="37"/>
    <s v="JIANGMEN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6.78"/>
    <n v="692.59"/>
    <n v="456.76"/>
    <n v="745.19"/>
    <n v="0"/>
    <n v="0"/>
    <n v="446.78"/>
    <n v="692.59"/>
    <n v="456.76"/>
    <n v="745.19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6D11H"/>
    <n v="790"/>
    <s v="2018-09-29"/>
    <s v="Historical averaged cost."/>
    <n v="110.87472"/>
    <n v="166.13449"/>
    <n v="166.13449"/>
    <n v="183.10584"/>
    <n v="0"/>
    <n v="0"/>
    <n v="45.86618"/>
    <n v="76.443640000000002"/>
    <n v="76.443640000000002"/>
    <n v="82.81394000000000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51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-KRPUS-(AX1)"/>
    <s v="53D11H"/>
    <n v="3"/>
    <s v="DR"/>
    <s v="D"/>
    <s v="Y"/>
    <s v="Y"/>
    <x v="12"/>
    <s v="KAOHSIUNG CITY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8.58"/>
    <n v="887.35"/>
    <n v="651.48"/>
    <n v="880.75"/>
    <n v="0"/>
    <n v="0"/>
    <n v="688.58"/>
    <n v="887.35"/>
    <n v="651.48"/>
    <n v="880.75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s v="T"/>
    <m/>
    <s v="T"/>
    <s v="51D17H"/>
    <n v="1054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215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46D11H"/>
    <n v="1"/>
    <s v="DR"/>
    <s v="D"/>
    <s v="Y"/>
    <s v="Y"/>
    <x v="12"/>
    <s v="KAOHSIUNG CITY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12"/>
    <n v="725.79"/>
    <n v="490.69"/>
    <n v="711.14"/>
    <n v="0"/>
    <n v="0"/>
    <n v="575.12"/>
    <n v="725.79"/>
    <n v="490.69"/>
    <n v="711.14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s v="T"/>
    <m/>
    <s v="S"/>
    <s v="44D17H"/>
    <n v="886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215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2"/>
    <s v="E"/>
    <s v="(PM2)-HKHKG-(AX2)"/>
    <s v="58D0H"/>
    <n v="1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7.02"/>
    <n v="444.11"/>
    <n v="236.85"/>
    <n v="4606.53"/>
    <n v="0"/>
    <n v="0"/>
    <n v="437.02"/>
    <n v="444.11"/>
    <n v="236.85"/>
    <n v="4606.53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PM2"/>
    <s v="AX2"/>
    <m/>
    <m/>
    <s v="S"/>
    <s v="56D12H"/>
    <n v="1288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PM2)-SGSIN-(MD3)-KRPUS-(AX1)"/>
    <s v="62D12H"/>
    <n v="2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8.68"/>
    <n v="416.04"/>
    <n v="215.17"/>
    <n v="4442.1400000000003"/>
    <n v="0"/>
    <n v="0"/>
    <n v="468.68"/>
    <n v="416.04"/>
    <n v="215.17"/>
    <n v="4442.1400000000003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PM2"/>
    <s v="AX1"/>
    <m/>
    <m/>
    <s v="S"/>
    <s v="61D0H"/>
    <n v="1396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PM2)-SGSIN-(MD2)-KRPUS-(AX1)"/>
    <s v="55D12H"/>
    <n v="2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7.08000000000004"/>
    <n v="532.52"/>
    <n v="325.49"/>
    <n v="4623.0200000000004"/>
    <n v="0"/>
    <n v="0"/>
    <n v="547.08000000000004"/>
    <n v="532.52"/>
    <n v="325.49"/>
    <n v="4623.0200000000004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PM2"/>
    <s v="AX1"/>
    <m/>
    <m/>
    <s v="S"/>
    <s v="54D0H"/>
    <n v="1228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PMX)-MYPKG-(AGX)-KRPUS-(AX1)"/>
    <s v="63D12H"/>
    <n v="2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3.82"/>
    <n v="412.54"/>
    <n v="211.66"/>
    <n v="4417.57"/>
    <n v="0"/>
    <n v="0"/>
    <n v="403.82"/>
    <n v="412.54"/>
    <n v="211.66"/>
    <n v="4417.57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PMX"/>
    <s v="AX1"/>
    <m/>
    <m/>
    <s v="S"/>
    <s v="62D0H"/>
    <n v="1437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2"/>
    <s v="E"/>
    <s v="(TIP)-MYPKG-(NX2)-KRPUS-(AX2)"/>
    <s v="61D0H"/>
    <n v="2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7.84"/>
    <n v="465.28"/>
    <n v="264.41000000000003"/>
    <n v="4502.62"/>
    <n v="0"/>
    <n v="0"/>
    <n v="447.84"/>
    <n v="465.28"/>
    <n v="264.41000000000003"/>
    <n v="4502.62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TIP"/>
    <s v="AX2"/>
    <m/>
    <m/>
    <s v="S"/>
    <s v="59D12H"/>
    <n v="1378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59.93523476000001"/>
    <n v="385.04114186999999"/>
    <n v="385.04114186999999"/>
    <n v="366.27543156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9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TIP)-SGSIN-(MD2)-KRPUS-(AX1)"/>
    <s v="58D12H"/>
    <n v="2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9.05999999999995"/>
    <n v="515.54"/>
    <n v="308.17"/>
    <n v="4609.49"/>
    <n v="0"/>
    <n v="0"/>
    <n v="529.05999999999995"/>
    <n v="515.54"/>
    <n v="308.17"/>
    <n v="4609.49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TIP"/>
    <s v="AX1"/>
    <m/>
    <m/>
    <s v="S"/>
    <s v="57D0H"/>
    <n v="1318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TIP)-MYPKG-(NX2)-KRPUS-(AX1)"/>
    <s v="58D12H"/>
    <n v="2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6.42"/>
    <n v="535.26"/>
    <n v="327.89"/>
    <n v="4608.1400000000003"/>
    <n v="0"/>
    <n v="0"/>
    <n v="486.42"/>
    <n v="535.26"/>
    <n v="327.89"/>
    <n v="4608.1400000000003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TIP"/>
    <s v="AX1"/>
    <m/>
    <m/>
    <s v="S"/>
    <s v="57D0H"/>
    <n v="1318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8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PM2)-HKHKG-(AX1)"/>
    <s v="62D12H"/>
    <n v="1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2.48"/>
    <n v="340.81"/>
    <n v="139.93"/>
    <n v="4406.54"/>
    <n v="0"/>
    <n v="0"/>
    <n v="362.48"/>
    <n v="340.81"/>
    <n v="139.93"/>
    <n v="4406.54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PM2"/>
    <s v="AX1"/>
    <m/>
    <m/>
    <s v="S"/>
    <s v="61D0H"/>
    <n v="1396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PMX)-MYPKG-(NX2)-KRPUS-(AX1)"/>
    <s v="56D12H"/>
    <n v="2"/>
    <s v="DR"/>
    <s v="D"/>
    <s v="Y"/>
    <s v="Y"/>
    <x v="64"/>
    <s v="KARACHI"/>
    <x v="38"/>
    <s v="KARACH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3.62"/>
    <n v="531.1"/>
    <n v="323.95"/>
    <n v="4601.68"/>
    <n v="0"/>
    <n v="0"/>
    <n v="483.62"/>
    <n v="531.1"/>
    <n v="323.95"/>
    <n v="4601.68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5.94"/>
    <n v="647.94000000000005"/>
    <n v="647.94000000000005"/>
    <n v="0"/>
    <n v="0"/>
    <n v="0"/>
    <m/>
    <m/>
    <m/>
    <m/>
    <m/>
    <m/>
    <m/>
    <m/>
    <m/>
    <m/>
    <m/>
    <m/>
    <s v="PMX"/>
    <s v="AX1"/>
    <m/>
    <m/>
    <s v="S"/>
    <s v="55D0H"/>
    <n v="1269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647000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3"/>
    <x v="3"/>
    <x v="25"/>
    <x v="27"/>
    <x v="27"/>
    <x v="0"/>
    <x v="0"/>
    <x v="0"/>
    <m/>
    <m/>
    <m/>
    <n v="43.941206665481587"/>
    <n v="43.941206665481587"/>
    <n v="43.941206665481587"/>
  </r>
  <r>
    <s v="LW"/>
    <s v="LWE"/>
    <s v="LWT"/>
    <s v="LW"/>
    <s v="AX1"/>
    <s v="E"/>
    <s v="(AX1)"/>
    <s v="44D15H"/>
    <n v="1"/>
    <s v="DR"/>
    <s v="D"/>
    <s v="Y"/>
    <s v="Y"/>
    <x v="14"/>
    <s v="KEELUNG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07.7"/>
    <n v="312.69"/>
    <n v="252.64"/>
    <n v="330.75"/>
    <n v="0"/>
    <n v="0"/>
    <n v="307.7"/>
    <n v="312.69"/>
    <n v="252.64"/>
    <n v="330.75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m/>
    <m/>
    <s v="S"/>
    <s v="43D3H"/>
    <n v="886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411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51D15H"/>
    <n v="3"/>
    <s v="DR"/>
    <s v="D"/>
    <s v="Y"/>
    <s v="Y"/>
    <x v="14"/>
    <s v="KEELUNG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1.17"/>
    <n v="474.25"/>
    <n v="413.43"/>
    <n v="500.36"/>
    <n v="0"/>
    <n v="0"/>
    <n v="421.17"/>
    <n v="474.25"/>
    <n v="413.43"/>
    <n v="500.36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m/>
    <m/>
    <s v="T"/>
    <s v="50D3H"/>
    <n v="1054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411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1"/>
    <s v="E"/>
    <s v="(JT1)-KRPUS-(AX1)"/>
    <s v="47D7H"/>
    <n v="1"/>
    <s v="DR"/>
    <s v="D"/>
    <s v="Y"/>
    <s v="Y"/>
    <x v="39"/>
    <s v="LAEM CHABANG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3.11"/>
    <n v="622.46"/>
    <n v="406.56"/>
    <n v="598.4"/>
    <n v="0"/>
    <n v="0"/>
    <n v="403.11"/>
    <n v="622.46"/>
    <n v="406.56"/>
    <n v="598.4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1"/>
    <s v="AX1"/>
    <m/>
    <m/>
    <s v="S"/>
    <s v="45D20H"/>
    <n v="959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64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JT3)-HKHKG-(AX2)"/>
    <s v="51D7H"/>
    <n v="2"/>
    <s v="DR"/>
    <s v="D"/>
    <s v="Y"/>
    <s v="Y"/>
    <x v="39"/>
    <s v="LAEM CHABANG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8.7"/>
    <n v="681.67"/>
    <n v="465.32"/>
    <n v="730.76"/>
    <n v="0"/>
    <n v="0"/>
    <n v="438.7"/>
    <n v="681.67"/>
    <n v="465.32"/>
    <n v="730.76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3"/>
    <s v="AX2"/>
    <m/>
    <m/>
    <s v="S"/>
    <s v="49D19H"/>
    <n v="1135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640003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JT4)-HKHKG-(AX2)"/>
    <s v="50D1H"/>
    <n v="2"/>
    <s v="DR"/>
    <s v="D"/>
    <s v="Y"/>
    <s v="Y"/>
    <x v="39"/>
    <s v="LAEM CHABANG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2.69"/>
    <n v="684.36"/>
    <n v="468.13"/>
    <n v="733.37"/>
    <n v="0"/>
    <n v="0"/>
    <n v="442.69"/>
    <n v="684.36"/>
    <n v="468.13"/>
    <n v="733.37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4"/>
    <s v="AX2"/>
    <m/>
    <m/>
    <s v="S"/>
    <s v="48D13H"/>
    <n v="1141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64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KVT)-KRPUS-(AX2)"/>
    <s v="34D1H"/>
    <n v="2"/>
    <s v="DR"/>
    <s v="D"/>
    <s v="Y"/>
    <s v="Y"/>
    <x v="39"/>
    <s v="LAEM CHABANG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8.56"/>
    <n v="681.33"/>
    <n v="466.85"/>
    <n v="679.32"/>
    <n v="0"/>
    <n v="0"/>
    <n v="458.56"/>
    <n v="681.33"/>
    <n v="466.85"/>
    <n v="679.32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KVT"/>
    <s v="AX2"/>
    <m/>
    <m/>
    <s v="S"/>
    <s v="32D13H"/>
    <n v="769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89.35736"/>
    <n v="255.02028195"/>
    <n v="255.02028195"/>
    <n v="263.09893649999998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640006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JT3)-HKHKG-(AX1)"/>
    <s v="48D19H"/>
    <n v="2"/>
    <s v="DR"/>
    <s v="D"/>
    <s v="Y"/>
    <s v="Y"/>
    <x v="39"/>
    <s v="LAEM CHABANG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2.56"/>
    <n v="694.85"/>
    <n v="478.73"/>
    <n v="711.64"/>
    <n v="0"/>
    <n v="0"/>
    <n v="442.56"/>
    <n v="694.85"/>
    <n v="478.73"/>
    <n v="711.64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JT3"/>
    <s v="AX1"/>
    <m/>
    <m/>
    <s v="S"/>
    <s v="47D7H"/>
    <n v="1075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64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PN2)-CNYTN-(AX1)"/>
    <s v="42D15H"/>
    <n v="1"/>
    <s v="DR"/>
    <s v="D"/>
    <s v="Y"/>
    <s v="Y"/>
    <x v="39"/>
    <s v="LAEM CHABANG"/>
    <x v="27"/>
    <s v="LAEM CHAB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8.18"/>
    <n v="593.64"/>
    <n v="378.17"/>
    <n v="595.11"/>
    <n v="0"/>
    <n v="0"/>
    <n v="378.18"/>
    <n v="593.64"/>
    <n v="378.17"/>
    <n v="595.11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PN2"/>
    <s v="AX1"/>
    <m/>
    <m/>
    <s v="S"/>
    <s v="41D3H"/>
    <n v="963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64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AX2)-KRPUS-(AX2)"/>
    <s v="43D9H"/>
    <n v="3"/>
    <s v="DR"/>
    <s v="D"/>
    <s v="Y"/>
    <s v="Y"/>
    <x v="42"/>
    <s v="LIANYUN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9.27"/>
    <n v="1230.3800000000001"/>
    <n v="1018.19"/>
    <n v="1483.79"/>
    <n v="0"/>
    <n v="0"/>
    <n v="769.27"/>
    <n v="1230.3800000000001"/>
    <n v="1018.19"/>
    <n v="1483.79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2"/>
    <s v="AX2"/>
    <s v="F"/>
    <m/>
    <s v="T"/>
    <s v="41D15H"/>
    <n v="891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1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1"/>
    <s v="E"/>
    <s v="(AX1)-KRPUS-(AX1)"/>
    <s v="42D21H"/>
    <n v="3"/>
    <s v="DR"/>
    <s v="D"/>
    <s v="Y"/>
    <s v="Y"/>
    <x v="42"/>
    <s v="LIANYUNG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0.56"/>
    <n v="1080.28"/>
    <n v="868.09"/>
    <n v="1269.8399999999999"/>
    <n v="0"/>
    <n v="0"/>
    <n v="690.56"/>
    <n v="1080.28"/>
    <n v="868.09"/>
    <n v="1269.8399999999999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1"/>
    <s v="AX1"/>
    <s v="F"/>
    <m/>
    <s v="T"/>
    <s v="41D3H"/>
    <n v="837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AX2)"/>
    <s v="35D21H"/>
    <n v="1"/>
    <s v="DR"/>
    <s v="D"/>
    <s v="Y"/>
    <s v="Y"/>
    <x v="42"/>
    <s v="LIANYUNG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0.44000000000005"/>
    <n v="901.37"/>
    <n v="689.96"/>
    <n v="1112.8900000000001"/>
    <n v="0"/>
    <n v="0"/>
    <n v="570.44000000000005"/>
    <n v="901.37"/>
    <n v="689.96"/>
    <n v="1112.890000000000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2"/>
    <s v="AX2"/>
    <s v="F"/>
    <m/>
    <s v="S"/>
    <s v="34D3H"/>
    <n v="692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3"/>
    <s v="E"/>
    <s v="(MD1)-KRPUS-(AX3)"/>
    <s v="41D23H"/>
    <n v="2"/>
    <s v="DR"/>
    <s v="D"/>
    <s v="Y"/>
    <s v="Y"/>
    <x v="42"/>
    <s v="LIANYUNGANG, JIANGSU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4.47"/>
    <n v="1022.33"/>
    <n v="810.25"/>
    <n v="1189.3599999999999"/>
    <n v="0"/>
    <n v="0"/>
    <n v="674.47"/>
    <n v="1022.33"/>
    <n v="810.25"/>
    <n v="1189.3599999999999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MD1"/>
    <s v="AX3"/>
    <s v="F"/>
    <m/>
    <s v="S"/>
    <s v="40D5H"/>
    <n v="881"/>
    <s v="2018-09-29"/>
    <s v="Historical averaged cost."/>
    <n v="72.402259999999998"/>
    <n v="108.10339"/>
    <n v="108.10339"/>
    <n v="143.21652"/>
    <n v="0"/>
    <n v="0"/>
    <n v="125"/>
    <n v="220"/>
    <n v="220"/>
    <n v="2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2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MD1)-KRPUS-(AX2)"/>
    <s v="38D2H"/>
    <n v="2"/>
    <s v="DR"/>
    <s v="D"/>
    <s v="Y"/>
    <s v="Y"/>
    <x v="42"/>
    <s v="LIANYUNGANG, JIANGSU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2.89"/>
    <n v="1066.75"/>
    <n v="855.12"/>
    <n v="1261.5"/>
    <n v="0"/>
    <n v="0"/>
    <n v="712.89"/>
    <n v="1066.75"/>
    <n v="855.12"/>
    <n v="1261.5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MD1"/>
    <s v="AX2"/>
    <s v="F"/>
    <m/>
    <s v="S"/>
    <s v="36D8H"/>
    <n v="788"/>
    <s v="2018-09-29"/>
    <s v="Historical averaged cost."/>
    <n v="72.402259999999998"/>
    <n v="108.10339"/>
    <n v="108.10339"/>
    <n v="143.21652"/>
    <n v="0"/>
    <n v="0"/>
    <n v="125"/>
    <n v="220"/>
    <n v="220"/>
    <n v="2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2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"/>
    <s v="40D14H"/>
    <n v="2"/>
    <s v="DR"/>
    <s v="D"/>
    <s v="Y"/>
    <s v="Y"/>
    <x v="42"/>
    <s v="LIANYUNGANG, JIANGSU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3.09"/>
    <n v="1020.27"/>
    <n v="808.31"/>
    <n v="1186.1500000000001"/>
    <n v="0"/>
    <n v="0"/>
    <n v="673.09"/>
    <n v="1020.27"/>
    <n v="808.31"/>
    <n v="1186.150000000000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AX3"/>
    <s v="AX1"/>
    <s v="F"/>
    <m/>
    <s v="S"/>
    <s v="38D20H"/>
    <n v="823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3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1"/>
    <s v="E"/>
    <s v="(AX2)-KRPUS-(AX1)"/>
    <s v="47D21H"/>
    <n v="3"/>
    <s v="DR"/>
    <s v="D"/>
    <s v="Y"/>
    <s v="Y"/>
    <x v="42"/>
    <s v="LIANYUN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5.29"/>
    <n v="1330.5"/>
    <n v="1117.77"/>
    <n v="1557.36"/>
    <n v="0"/>
    <n v="0"/>
    <n v="835.29"/>
    <n v="1330.5"/>
    <n v="1117.77"/>
    <n v="1557.3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2"/>
    <s v="AX1"/>
    <s v="F"/>
    <m/>
    <s v="T"/>
    <s v="46D3H"/>
    <n v="999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1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AX2)-MXZLO-(AX3)"/>
    <s v="47D6H"/>
    <n v="3"/>
    <s v="DR"/>
    <s v="D"/>
    <s v="Y"/>
    <s v="Y"/>
    <x v="42"/>
    <s v="LIANYUN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0.24"/>
    <n v="1312.03"/>
    <n v="1099.4100000000001"/>
    <n v="1535.43"/>
    <n v="0"/>
    <n v="0"/>
    <n v="880.24"/>
    <n v="1312.03"/>
    <n v="1099.4100000000001"/>
    <n v="1535.43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2"/>
    <s v="AX3"/>
    <s v="F"/>
    <m/>
    <s v="T"/>
    <s v="45D12H"/>
    <n v="984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1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1"/>
    <s v="E"/>
    <s v="(AX1)"/>
    <s v="34D21H"/>
    <n v="1"/>
    <s v="DR"/>
    <s v="D"/>
    <s v="Y"/>
    <s v="Y"/>
    <x v="42"/>
    <s v="LIANYUN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2.74"/>
    <n v="1086.3800000000001"/>
    <n v="875.07"/>
    <n v="1295.97"/>
    <n v="0"/>
    <n v="0"/>
    <n v="662.74"/>
    <n v="1086.3800000000001"/>
    <n v="875.07"/>
    <n v="1295.97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1"/>
    <s v="AX1"/>
    <s v="F"/>
    <m/>
    <s v="S"/>
    <s v="33D4H"/>
    <n v="716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1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1"/>
    <s v="E"/>
    <s v="(AX1)"/>
    <s v="35D21H"/>
    <n v="1"/>
    <s v="DR"/>
    <s v="D"/>
    <s v="Y"/>
    <s v="Y"/>
    <x v="42"/>
    <s v="LIANYUNG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7.09"/>
    <n v="918.72"/>
    <n v="707.3"/>
    <n v="1100.23"/>
    <n v="0"/>
    <n v="0"/>
    <n v="577.09"/>
    <n v="918.72"/>
    <n v="707.3"/>
    <n v="1100.23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1"/>
    <s v="AX1"/>
    <s v="F"/>
    <m/>
    <s v="S"/>
    <s v="34D3H"/>
    <n v="669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"/>
    <s v="46D21H"/>
    <n v="3"/>
    <s v="DR"/>
    <s v="D"/>
    <s v="Y"/>
    <s v="Y"/>
    <x v="42"/>
    <s v="LIANYUNG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6.16"/>
    <n v="1088.5999999999999"/>
    <n v="875.97"/>
    <n v="1282.76"/>
    <n v="0"/>
    <n v="0"/>
    <n v="696.16"/>
    <n v="1088.5999999999999"/>
    <n v="875.97"/>
    <n v="1282.7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3"/>
    <s v="AX1"/>
    <s v="F"/>
    <m/>
    <s v="T"/>
    <s v="45D3H"/>
    <n v="942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0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"/>
    <s v="56D9H"/>
    <n v="3"/>
    <s v="DR"/>
    <s v="D"/>
    <s v="Y"/>
    <s v="Y"/>
    <x v="42"/>
    <s v="LIANYUNG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2.78"/>
    <n v="1160.06"/>
    <n v="946.44"/>
    <n v="1396.89"/>
    <n v="0"/>
    <n v="0"/>
    <n v="752.78"/>
    <n v="1160.06"/>
    <n v="946.44"/>
    <n v="1396.89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3"/>
    <s v="AX2"/>
    <s v="F"/>
    <m/>
    <s v="T"/>
    <s v="54D15H"/>
    <n v="1170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9CC)-KRPUS-(AX2)"/>
    <s v="41D3H"/>
    <n v="2"/>
    <s v="DR"/>
    <s v="D"/>
    <s v="Y"/>
    <s v="Y"/>
    <x v="42"/>
    <s v="LIANYUNGANG, JIANGSU"/>
    <x v="28"/>
    <s v="LIANYUNGANG, JIANGSU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6.96"/>
    <n v="976.47"/>
    <n v="764.5"/>
    <n v="1140.8"/>
    <n v="0"/>
    <n v="0"/>
    <n v="636.96"/>
    <n v="976.47"/>
    <n v="764.5"/>
    <n v="1140.8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9CC"/>
    <s v="AX2"/>
    <m/>
    <m/>
    <s v="S"/>
    <s v="39D15H"/>
    <n v="932"/>
    <s v="2018-09-29"/>
    <s v="Historical averaged cost."/>
    <n v="0"/>
    <n v="0"/>
    <n v="0"/>
    <n v="0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23.608234"/>
    <n v="161.91736800000001"/>
    <n v="161.91736800000001"/>
    <n v="164.229366"/>
    <n v="0"/>
    <n v="0"/>
    <n v="148"/>
    <n v="286.75"/>
    <n v="286.75"/>
    <n v="333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"/>
    <s v="50D2H"/>
    <n v="1"/>
    <s v="DR"/>
    <s v="D"/>
    <s v="Y"/>
    <s v="Y"/>
    <x v="42"/>
    <s v="LIANYUNGANG, JIANGSU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9.71"/>
    <n v="1091.74"/>
    <n v="878.78"/>
    <n v="1300.28"/>
    <n v="0"/>
    <n v="0"/>
    <n v="729.71"/>
    <n v="1091.74"/>
    <n v="878.78"/>
    <n v="1300.28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AX3"/>
    <s v="AX2"/>
    <s v="F"/>
    <m/>
    <s v="S"/>
    <s v="48D8H"/>
    <n v="1051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2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42D6H"/>
    <n v="1"/>
    <s v="DR"/>
    <s v="D"/>
    <s v="Y"/>
    <s v="Y"/>
    <x v="42"/>
    <s v="LIANYUN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2.54"/>
    <n v="1100.94"/>
    <n v="888.86"/>
    <n v="1318.58"/>
    <n v="0"/>
    <n v="0"/>
    <n v="672.54"/>
    <n v="1100.94"/>
    <n v="888.86"/>
    <n v="1318.58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3"/>
    <s v="AX3"/>
    <s v="F"/>
    <m/>
    <s v="S"/>
    <s v="40D13H"/>
    <n v="897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39D23H"/>
    <n v="1"/>
    <s v="DR"/>
    <s v="D"/>
    <s v="Y"/>
    <s v="Y"/>
    <x v="42"/>
    <s v="LIANYUNGANG, JIANGSU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02"/>
    <n v="871.19"/>
    <n v="659.34"/>
    <n v="1035.92"/>
    <n v="0"/>
    <n v="0"/>
    <n v="568.02"/>
    <n v="871.19"/>
    <n v="659.34"/>
    <n v="1035.92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AX3"/>
    <s v="AX3"/>
    <s v="F"/>
    <m/>
    <s v="S"/>
    <s v="38D5H"/>
    <n v="808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2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42"/>
    <s v="LIANYUNG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1.09"/>
    <n v="939.52"/>
    <n v="727"/>
    <n v="1132.53"/>
    <n v="0"/>
    <n v="0"/>
    <n v="591.09"/>
    <n v="939.52"/>
    <n v="727"/>
    <n v="1132.53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3"/>
    <s v="AX3"/>
    <s v="F"/>
    <m/>
    <s v="S"/>
    <s v="44D12H"/>
    <n v="927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AX2)"/>
    <s v="43D9H"/>
    <n v="1"/>
    <s v="DR"/>
    <s v="D"/>
    <s v="Y"/>
    <s v="Y"/>
    <x v="42"/>
    <s v="LIANYUN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29"/>
    <n v="1085.67"/>
    <n v="873.49"/>
    <n v="1334.46"/>
    <n v="0"/>
    <n v="0"/>
    <n v="667.29"/>
    <n v="1085.67"/>
    <n v="873.49"/>
    <n v="1334.4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23"/>
    <n v="656.83"/>
    <n v="656.83"/>
    <n v="0"/>
    <n v="0"/>
    <n v="0"/>
    <m/>
    <m/>
    <m/>
    <m/>
    <m/>
    <m/>
    <m/>
    <m/>
    <m/>
    <m/>
    <m/>
    <m/>
    <s v="AX2"/>
    <s v="AX2"/>
    <s v="F"/>
    <m/>
    <s v="S"/>
    <s v="41D15H"/>
    <n v="891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377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3"/>
    <s v="E"/>
    <s v="(NZJ)-KRPUS-(AX3)"/>
    <s v="54D9H"/>
    <n v="1"/>
    <s v="DR"/>
    <s v="D"/>
    <s v="Y"/>
    <s v="Y"/>
    <x v="65"/>
    <s v="LYTTELTON, CAN"/>
    <x v="39"/>
    <s v="LYTTELTON, C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9.97"/>
    <n v="756.34"/>
    <n v="491.43"/>
    <n v="4591.6400000000003"/>
    <n v="0"/>
    <n v="0"/>
    <n v="489.97"/>
    <n v="756.34"/>
    <n v="491.43"/>
    <n v="4591.6400000000003"/>
    <n v="0"/>
    <n v="0"/>
    <s v="NZLYT"/>
    <n v="-36.972399961000001"/>
    <n v="44.936739737000003"/>
    <n v="-31.604345212999998"/>
    <n v="4043.9560873400001"/>
    <n v="0"/>
    <n v="0"/>
    <n v="-36.972399961000001"/>
    <n v="44.936739737000003"/>
    <n v="-31.604345212999998"/>
    <n v="4043.9560873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2.16"/>
    <n v="724.47"/>
    <n v="724.47"/>
    <n v="0"/>
    <n v="0"/>
    <n v="0"/>
    <m/>
    <m/>
    <m/>
    <m/>
    <m/>
    <m/>
    <m/>
    <m/>
    <m/>
    <m/>
    <m/>
    <m/>
    <s v="NZJ"/>
    <s v="AX3"/>
    <m/>
    <m/>
    <s v="S"/>
    <s v="52D21H"/>
    <n v="1226"/>
    <s v="2018-09-29"/>
    <s v="Historical averaged cost."/>
    <n v="208.68876"/>
    <n v="260.75047999999998"/>
    <n v="260.75047999999998"/>
    <n v="62.8740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00002"/>
    <s v="OPUS"/>
    <n v="122"/>
    <n v="244"/>
    <n v="244"/>
    <x v="0"/>
    <x v="0"/>
    <x v="0"/>
    <n v="60"/>
    <n v="120"/>
    <n v="120"/>
    <x v="1"/>
    <x v="1"/>
    <x v="1"/>
    <x v="12"/>
    <x v="12"/>
    <x v="12"/>
    <m/>
    <m/>
    <m/>
    <m/>
    <m/>
    <m/>
    <x v="10"/>
    <x v="10"/>
    <m/>
    <x v="3"/>
    <x v="3"/>
    <x v="3"/>
    <x v="26"/>
    <x v="28"/>
    <x v="28"/>
    <x v="0"/>
    <x v="0"/>
    <x v="0"/>
    <m/>
    <m/>
    <m/>
    <m/>
    <m/>
    <m/>
  </r>
  <r>
    <s v="LW"/>
    <s v="LWE"/>
    <s v="LWT"/>
    <s v="LW"/>
    <s v="AX1"/>
    <s v="E"/>
    <s v="(NZJ)-KRPUS-(AX1)"/>
    <s v="55D0H"/>
    <n v="2"/>
    <s v="DR"/>
    <s v="D"/>
    <s v="Y"/>
    <s v="Y"/>
    <x v="65"/>
    <s v="LYTTELTON, CAN"/>
    <x v="39"/>
    <s v="LYTTELTON, C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1.37"/>
    <n v="758.42"/>
    <n v="493.4"/>
    <n v="4594.87"/>
    <n v="0"/>
    <n v="0"/>
    <n v="491.37"/>
    <n v="758.42"/>
    <n v="493.4"/>
    <n v="4594.87"/>
    <n v="0"/>
    <n v="0"/>
    <s v="NZLYT"/>
    <n v="-36.972399961000001"/>
    <n v="44.936739737000003"/>
    <n v="-31.604345212999998"/>
    <n v="4043.9560873400001"/>
    <n v="0"/>
    <n v="0"/>
    <n v="-36.972399961000001"/>
    <n v="44.936739737000003"/>
    <n v="-31.604345212999998"/>
    <n v="4043.9560873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2.16"/>
    <n v="724.47"/>
    <n v="724.47"/>
    <n v="0"/>
    <n v="0"/>
    <n v="0"/>
    <m/>
    <m/>
    <m/>
    <m/>
    <m/>
    <m/>
    <m/>
    <m/>
    <m/>
    <m/>
    <m/>
    <m/>
    <s v="NZJ"/>
    <s v="AX1"/>
    <m/>
    <m/>
    <s v="S"/>
    <s v="53D12H"/>
    <n v="1241"/>
    <s v="2018-09-29"/>
    <s v="Historical averaged cost."/>
    <n v="208.68876"/>
    <n v="260.75047999999998"/>
    <n v="260.75047999999998"/>
    <n v="62.8740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00003"/>
    <s v="OPUS"/>
    <n v="122"/>
    <n v="244"/>
    <n v="244"/>
    <x v="0"/>
    <x v="0"/>
    <x v="0"/>
    <n v="60"/>
    <n v="120"/>
    <n v="120"/>
    <x v="1"/>
    <x v="1"/>
    <x v="1"/>
    <x v="12"/>
    <x v="12"/>
    <x v="12"/>
    <m/>
    <m/>
    <m/>
    <m/>
    <m/>
    <m/>
    <x v="10"/>
    <x v="10"/>
    <m/>
    <x v="3"/>
    <x v="3"/>
    <x v="3"/>
    <x v="26"/>
    <x v="28"/>
    <x v="28"/>
    <x v="0"/>
    <x v="0"/>
    <x v="0"/>
    <m/>
    <m/>
    <m/>
    <m/>
    <m/>
    <m/>
  </r>
  <r>
    <s v="LW"/>
    <s v="LWE"/>
    <s v="LWT"/>
    <s v="LW"/>
    <s v="AX2"/>
    <s v="E"/>
    <s v="(NZJ)-KRPUS-(AX2)"/>
    <s v="50D12H"/>
    <n v="1"/>
    <s v="DR"/>
    <s v="D"/>
    <s v="Y"/>
    <s v="Y"/>
    <x v="65"/>
    <s v="LYTTELTON, CAN"/>
    <x v="39"/>
    <s v="LYTTELTON, C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6.63"/>
    <n v="729.31"/>
    <n v="464.73"/>
    <n v="4593.47"/>
    <n v="0"/>
    <n v="0"/>
    <n v="476.63"/>
    <n v="729.31"/>
    <n v="464.73"/>
    <n v="4593.47"/>
    <n v="0"/>
    <n v="0"/>
    <s v="NZLYT"/>
    <n v="-36.972399961000001"/>
    <n v="44.936739737000003"/>
    <n v="-31.604345212999998"/>
    <n v="4043.9560873400001"/>
    <n v="0"/>
    <n v="0"/>
    <n v="-36.972399961000001"/>
    <n v="44.936739737000003"/>
    <n v="-31.604345212999998"/>
    <n v="4043.9560873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02.16"/>
    <n v="724.47"/>
    <n v="724.47"/>
    <n v="0"/>
    <n v="0"/>
    <n v="0"/>
    <m/>
    <m/>
    <m/>
    <m/>
    <m/>
    <m/>
    <m/>
    <m/>
    <m/>
    <m/>
    <m/>
    <m/>
    <s v="NZJ"/>
    <s v="AX2"/>
    <m/>
    <m/>
    <s v="S"/>
    <s v="49D0H"/>
    <n v="1133"/>
    <s v="2018-09-29"/>
    <s v="Historical averaged cost."/>
    <n v="208.68876"/>
    <n v="260.75047999999998"/>
    <n v="260.75047999999998"/>
    <n v="62.8740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89.35736"/>
    <n v="255.02028195"/>
    <n v="255.02028195"/>
    <n v="263.09893649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6100001"/>
    <s v="OPUS"/>
    <n v="122"/>
    <n v="244"/>
    <n v="244"/>
    <x v="0"/>
    <x v="0"/>
    <x v="0"/>
    <n v="60"/>
    <n v="120"/>
    <n v="120"/>
    <x v="1"/>
    <x v="1"/>
    <x v="1"/>
    <x v="12"/>
    <x v="12"/>
    <x v="12"/>
    <m/>
    <m/>
    <m/>
    <m/>
    <m/>
    <m/>
    <x v="10"/>
    <x v="10"/>
    <m/>
    <x v="3"/>
    <x v="3"/>
    <x v="3"/>
    <x v="26"/>
    <x v="28"/>
    <x v="28"/>
    <x v="0"/>
    <x v="0"/>
    <x v="0"/>
    <m/>
    <m/>
    <m/>
    <m/>
    <m/>
    <m/>
  </r>
  <r>
    <s v="LW"/>
    <s v="LWE"/>
    <s v="LWT"/>
    <s v="LW"/>
    <s v="AX2"/>
    <s v="E"/>
    <s v="(NCI)-SGSIN-(AGX)-KRPUS-(AX2)"/>
    <s v="69D15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6.02"/>
    <n v="627.66"/>
    <n v="335.19"/>
    <n v="4514.3599999999997"/>
    <n v="0"/>
    <n v="0"/>
    <n v="566.02"/>
    <n v="627.66"/>
    <n v="335.19"/>
    <n v="4514.359999999999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NCI"/>
    <s v="AX2"/>
    <m/>
    <m/>
    <s v="S"/>
    <s v="68D3H"/>
    <n v="1605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2"/>
    <s v="E"/>
    <s v="(NCI)-SGSIN-(KME)-KRPUS-(AX2)"/>
    <s v="62D15H"/>
    <n v="3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6.79"/>
    <n v="631.35"/>
    <n v="338.89"/>
    <n v="4525.93"/>
    <n v="0"/>
    <n v="0"/>
    <n v="566.79"/>
    <n v="631.35"/>
    <n v="338.89"/>
    <n v="4525.93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NCI"/>
    <s v="AX2"/>
    <m/>
    <m/>
    <s v="T"/>
    <s v="61D3H"/>
    <n v="1437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3.34868613999998"/>
    <n v="369.01450014"/>
    <n v="369.01450014"/>
    <n v="379.20062978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3"/>
    <s v="E"/>
    <s v="(PM2)-SGSIN-(AGX)-KRPUS-(AX3)"/>
    <s v="63D13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1.99"/>
    <n v="574.91"/>
    <n v="282.45"/>
    <n v="4429.3100000000004"/>
    <n v="0"/>
    <n v="0"/>
    <n v="521.99"/>
    <n v="574.91"/>
    <n v="282.45"/>
    <n v="4429.310000000000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PM2"/>
    <s v="AX3"/>
    <m/>
    <m/>
    <s v="S"/>
    <s v="62D1H"/>
    <n v="1459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1"/>
    <s v="E"/>
    <s v="(NCI)-SGSIN-(KME)-KRPUS-(AX1)"/>
    <s v="60D3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91999999999996"/>
    <n v="652.14"/>
    <n v="359.67"/>
    <n v="4514.41"/>
    <n v="0"/>
    <n v="0"/>
    <n v="575.91999999999996"/>
    <n v="652.14"/>
    <n v="359.67"/>
    <n v="4514.41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NCI"/>
    <s v="AX1"/>
    <m/>
    <m/>
    <s v="S"/>
    <s v="58D15H"/>
    <n v="1377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1"/>
    <s v="E"/>
    <s v="(PM2)-HKHKG-(AX1)"/>
    <s v="58D15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8.39"/>
    <n v="622.4"/>
    <n v="323.45"/>
    <n v="4584.2700000000004"/>
    <n v="0"/>
    <n v="0"/>
    <n v="498.39"/>
    <n v="622.4"/>
    <n v="323.45"/>
    <n v="4584.270000000000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PM2"/>
    <s v="AX1"/>
    <m/>
    <m/>
    <s v="S"/>
    <s v="57D3H"/>
    <n v="1341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KME)-KRPUS-(AX1)"/>
    <s v="57D4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5.72"/>
    <n v="770.7"/>
    <n v="471.96"/>
    <n v="4698.5200000000004"/>
    <n v="0"/>
    <n v="0"/>
    <n v="655.72"/>
    <n v="770.7"/>
    <n v="471.96"/>
    <n v="4698.520000000000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PM2"/>
    <s v="AX1"/>
    <m/>
    <m/>
    <s v="S"/>
    <s v="55D16H"/>
    <n v="1306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3"/>
    <s v="E"/>
    <s v="(NCI)-SGSIN-(AGX)-KRPUS-(AX3)"/>
    <s v="73D12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1.99"/>
    <n v="574.91"/>
    <n v="282.45"/>
    <n v="4429.3100000000004"/>
    <n v="0"/>
    <n v="0"/>
    <n v="521.99"/>
    <n v="574.91"/>
    <n v="282.45"/>
    <n v="4429.310000000000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NCI"/>
    <s v="AX3"/>
    <m/>
    <m/>
    <s v="S"/>
    <s v="72D0H"/>
    <n v="1698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2"/>
    <s v="E"/>
    <s v="(PM2)-HKHKG-(AX2)"/>
    <s v="54D3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73"/>
    <n v="594.66"/>
    <n v="296.25"/>
    <n v="4580.78"/>
    <n v="0"/>
    <n v="0"/>
    <n v="484.73"/>
    <n v="594.66"/>
    <n v="296.25"/>
    <n v="4580.78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PM2"/>
    <s v="AX2"/>
    <m/>
    <m/>
    <s v="S"/>
    <s v="52D15H"/>
    <n v="1233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2"/>
    <s v="E"/>
    <s v="(PM2)-SGSIN-(AGX)-KRPUS-(AX2)"/>
    <s v="59D16H"/>
    <n v="2"/>
    <s v="DR"/>
    <s v="D"/>
    <s v="Y"/>
    <s v="Y"/>
    <x v="66"/>
    <s v="MUNDRA"/>
    <x v="6"/>
    <s v="MUNDR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0.02"/>
    <n v="752.46"/>
    <n v="453.39"/>
    <n v="4708.16"/>
    <n v="0"/>
    <n v="0"/>
    <n v="650.02"/>
    <n v="752.46"/>
    <n v="453.39"/>
    <n v="4708.16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5.45"/>
    <n v="669.67"/>
    <n v="669.67"/>
    <n v="0"/>
    <n v="0"/>
    <n v="0"/>
    <m/>
    <m/>
    <m/>
    <m/>
    <m/>
    <m/>
    <m/>
    <m/>
    <m/>
    <m/>
    <m/>
    <m/>
    <s v="PM2"/>
    <s v="AX2"/>
    <m/>
    <m/>
    <s v="S"/>
    <s v="58D4H"/>
    <n v="1366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31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7"/>
    <x v="29"/>
    <x v="29"/>
    <x v="0"/>
    <x v="0"/>
    <x v="0"/>
    <m/>
    <m/>
    <m/>
    <m/>
    <m/>
    <m/>
  </r>
  <r>
    <s v="LW"/>
    <s v="LWE"/>
    <s v="LWT"/>
    <s v="LW"/>
    <s v="AX1"/>
    <s v="E"/>
    <s v="(AX1)"/>
    <s v="34D21H"/>
    <n v="1"/>
    <s v="DR"/>
    <s v="D"/>
    <s v="Y"/>
    <s v="Y"/>
    <x v="44"/>
    <s v="NANJI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82000000000005"/>
    <n v="875.12"/>
    <n v="639.89"/>
    <n v="1026.7"/>
    <n v="0"/>
    <n v="0"/>
    <n v="548.82000000000005"/>
    <n v="875.12"/>
    <n v="639.89"/>
    <n v="1026.7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3D3H"/>
    <n v="669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1D6H"/>
    <n v="3"/>
    <s v="DR"/>
    <s v="D"/>
    <s v="Y"/>
    <s v="Y"/>
    <x v="44"/>
    <s v="NANJI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1.28"/>
    <n v="1207.1199999999999"/>
    <n v="970.13"/>
    <n v="1398.32"/>
    <n v="0"/>
    <n v="0"/>
    <n v="831.28"/>
    <n v="1207.1199999999999"/>
    <n v="970.13"/>
    <n v="1398.32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49D12H"/>
    <n v="984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1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7D9H"/>
    <n v="1"/>
    <s v="DR"/>
    <s v="D"/>
    <s v="Y"/>
    <s v="Y"/>
    <x v="44"/>
    <s v="NANJI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8.33000000000004"/>
    <n v="980.75"/>
    <n v="744.21"/>
    <n v="1197.3599999999999"/>
    <n v="0"/>
    <n v="0"/>
    <n v="618.33000000000004"/>
    <n v="980.75"/>
    <n v="744.21"/>
    <n v="1197.359999999999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45D21H"/>
    <n v="3"/>
    <s v="DR"/>
    <s v="D"/>
    <s v="Y"/>
    <s v="Y"/>
    <x v="44"/>
    <s v="NANJI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88"/>
    <n v="1045"/>
    <n v="808.56"/>
    <n v="1209.23"/>
    <n v="0"/>
    <n v="0"/>
    <n v="667.88"/>
    <n v="1045"/>
    <n v="808.56"/>
    <n v="1209.23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1"/>
    <s v="F"/>
    <m/>
    <s v="T"/>
    <s v="44D3H"/>
    <n v="942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7D9H"/>
    <n v="3"/>
    <s v="DR"/>
    <s v="D"/>
    <s v="Y"/>
    <s v="Y"/>
    <x v="44"/>
    <s v="NANJI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0.31"/>
    <n v="1125.46"/>
    <n v="888.91"/>
    <n v="1346.68"/>
    <n v="0"/>
    <n v="0"/>
    <n v="720.31"/>
    <n v="1125.46"/>
    <n v="888.91"/>
    <n v="1346.68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1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5D6H"/>
    <n v="1"/>
    <s v="DR"/>
    <s v="D"/>
    <s v="Y"/>
    <s v="Y"/>
    <x v="44"/>
    <s v="NANJI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2.82000000000005"/>
    <n v="895.92"/>
    <n v="659.59"/>
    <n v="1059"/>
    <n v="0"/>
    <n v="0"/>
    <n v="562.82000000000005"/>
    <n v="895.92"/>
    <n v="659.59"/>
    <n v="105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3D12H"/>
    <n v="927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44"/>
    <s v="NANJI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3.58000000000004"/>
    <n v="996.02"/>
    <n v="759.58"/>
    <n v="1181.47"/>
    <n v="0"/>
    <n v="0"/>
    <n v="623.58000000000004"/>
    <n v="996.02"/>
    <n v="759.58"/>
    <n v="1181.47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4D13H"/>
    <n v="89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4D21H"/>
    <n v="1"/>
    <s v="DR"/>
    <s v="D"/>
    <s v="Y"/>
    <s v="Y"/>
    <x v="44"/>
    <s v="NANJI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2.16"/>
    <n v="857.77"/>
    <n v="622.54999999999995"/>
    <n v="1039.3499999999999"/>
    <n v="0"/>
    <n v="0"/>
    <n v="542.16"/>
    <n v="857.77"/>
    <n v="622.54999999999995"/>
    <n v="1039.349999999999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33D3H"/>
    <n v="692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41D21H"/>
    <n v="3"/>
    <s v="DR"/>
    <s v="D"/>
    <s v="Y"/>
    <s v="Y"/>
    <x v="44"/>
    <s v="NANJI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2.28"/>
    <n v="1036.68"/>
    <n v="800.68"/>
    <n v="1196.31"/>
    <n v="0"/>
    <n v="0"/>
    <n v="662.28"/>
    <n v="1036.68"/>
    <n v="800.68"/>
    <n v="1196.31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T"/>
    <s v="40D3H"/>
    <n v="837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1D21H"/>
    <n v="3"/>
    <s v="DR"/>
    <s v="D"/>
    <s v="Y"/>
    <s v="Y"/>
    <x v="44"/>
    <s v="NANJI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6.33"/>
    <n v="1225.58"/>
    <n v="988.49"/>
    <n v="1420.25"/>
    <n v="0"/>
    <n v="0"/>
    <n v="786.33"/>
    <n v="1225.58"/>
    <n v="988.49"/>
    <n v="1420.25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0D3H"/>
    <n v="999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1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3)-KRPUS-(AX2)"/>
    <s v="55D9H"/>
    <n v="3"/>
    <s v="DR"/>
    <s v="D"/>
    <s v="Y"/>
    <s v="Y"/>
    <x v="44"/>
    <s v="NANJI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4.5"/>
    <n v="1116.46"/>
    <n v="879.03"/>
    <n v="1323.35"/>
    <n v="0"/>
    <n v="0"/>
    <n v="724.5"/>
    <n v="1116.46"/>
    <n v="879.03"/>
    <n v="1323.35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2"/>
    <s v="F"/>
    <m/>
    <s v="T"/>
    <s v="53D15H"/>
    <n v="1170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8D21H"/>
    <n v="1"/>
    <s v="DR"/>
    <s v="D"/>
    <s v="Y"/>
    <s v="Y"/>
    <x v="44"/>
    <s v="NANJI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78"/>
    <n v="981.46"/>
    <n v="745.79"/>
    <n v="1158.8599999999999"/>
    <n v="0"/>
    <n v="0"/>
    <n v="613.78"/>
    <n v="981.46"/>
    <n v="745.79"/>
    <n v="1158.859999999999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7D4H"/>
    <n v="716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878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8D9H"/>
    <n v="1"/>
    <s v="DR"/>
    <s v="D"/>
    <s v="Y"/>
    <s v="Y"/>
    <x v="15"/>
    <s v="NANSHA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4.45"/>
    <n v="519.41999999999996"/>
    <n v="506.67"/>
    <n v="597.09"/>
    <n v="0"/>
    <n v="0"/>
    <n v="444.45"/>
    <n v="519.41999999999996"/>
    <n v="506.67"/>
    <n v="597.09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5H"/>
    <n v="799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600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13H"/>
    <n v="1"/>
    <s v="DR"/>
    <s v="D"/>
    <s v="Y"/>
    <s v="Y"/>
    <x v="15"/>
    <s v="NANSHA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6.39"/>
    <n v="500"/>
    <n v="487.36"/>
    <n v="606.52"/>
    <n v="0"/>
    <n v="0"/>
    <n v="436.39"/>
    <n v="500"/>
    <n v="487.36"/>
    <n v="606.52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4D19H"/>
    <n v="758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600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9D14H"/>
    <n v="1"/>
    <s v="DR"/>
    <s v="D"/>
    <s v="Y"/>
    <s v="Y"/>
    <x v="15"/>
    <s v="NANSHA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8.17"/>
    <n v="389.37"/>
    <n v="376.4"/>
    <n v="482.04"/>
    <n v="0"/>
    <n v="0"/>
    <n v="368.17"/>
    <n v="389.37"/>
    <n v="376.4"/>
    <n v="482.04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7D21H"/>
    <n v="790"/>
    <s v="2018-09-29"/>
    <s v="Historical averaged cost."/>
    <n v="110.87472"/>
    <n v="166.13449"/>
    <n v="166.13449"/>
    <n v="183.10584"/>
    <n v="0"/>
    <n v="0"/>
    <n v="37.71219"/>
    <n v="56.695700000000002"/>
    <n v="56.695700000000002"/>
    <n v="64.59487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60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5H"/>
    <n v="1"/>
    <s v="DR"/>
    <s v="D"/>
    <s v="Y"/>
    <s v="Y"/>
    <x v="15"/>
    <s v="NANSHA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9.3"/>
    <n v="485.76"/>
    <n v="473.01"/>
    <n v="562.86"/>
    <n v="0"/>
    <n v="0"/>
    <n v="419.3"/>
    <n v="485.76"/>
    <n v="473.01"/>
    <n v="562.86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2H"/>
    <n v="777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600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6D13H"/>
    <n v="3"/>
    <s v="DR"/>
    <s v="D"/>
    <s v="Y"/>
    <s v="Y"/>
    <x v="15"/>
    <s v="NANSHA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38"/>
    <n v="644.70000000000005"/>
    <n v="632.05999999999995"/>
    <n v="755.84"/>
    <n v="0"/>
    <n v="0"/>
    <n v="538.38"/>
    <n v="644.70000000000005"/>
    <n v="632.05999999999995"/>
    <n v="755.84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4D19H"/>
    <n v="773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600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21H"/>
    <n v="1"/>
    <s v="DR"/>
    <s v="D"/>
    <s v="Y"/>
    <s v="Y"/>
    <x v="45"/>
    <s v="NANTO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5.29999999999995"/>
    <n v="980.65"/>
    <n v="744.94"/>
    <n v="4736.3999999999996"/>
    <n v="0"/>
    <n v="0"/>
    <n v="615.29999999999995"/>
    <n v="980.65"/>
    <n v="744.94"/>
    <n v="4736.3999999999996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7D4H"/>
    <n v="716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69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1D6H"/>
    <n v="3"/>
    <s v="DR"/>
    <s v="D"/>
    <s v="Y"/>
    <s v="Y"/>
    <x v="45"/>
    <s v="NANTO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2.8"/>
    <n v="1206.31"/>
    <n v="969.28"/>
    <n v="4975.8599999999997"/>
    <n v="0"/>
    <n v="0"/>
    <n v="832.8"/>
    <n v="1206.31"/>
    <n v="969.28"/>
    <n v="4975.8599999999997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49D12H"/>
    <n v="984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69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45"/>
    <s v="NANTO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5.1"/>
    <n v="995.21"/>
    <n v="758.73"/>
    <n v="4759.01"/>
    <n v="0"/>
    <n v="0"/>
    <n v="625.1"/>
    <n v="995.21"/>
    <n v="758.73"/>
    <n v="4759.01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4D13H"/>
    <n v="89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69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7D9H"/>
    <n v="1"/>
    <s v="DR"/>
    <s v="D"/>
    <s v="Y"/>
    <s v="Y"/>
    <x v="45"/>
    <s v="NANTO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9.84"/>
    <n v="979.95"/>
    <n v="743.36"/>
    <n v="4774.8999999999996"/>
    <n v="0"/>
    <n v="0"/>
    <n v="619.84"/>
    <n v="979.95"/>
    <n v="743.36"/>
    <n v="4774.8999999999996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69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7D9H"/>
    <n v="3"/>
    <s v="DR"/>
    <s v="D"/>
    <s v="Y"/>
    <s v="Y"/>
    <x v="45"/>
    <s v="NANTO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1.83"/>
    <n v="1124.6500000000001"/>
    <n v="888.06"/>
    <n v="4924.22"/>
    <n v="0"/>
    <n v="0"/>
    <n v="721.83"/>
    <n v="1124.6500000000001"/>
    <n v="888.06"/>
    <n v="4924.22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69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1D21H"/>
    <n v="3"/>
    <s v="DR"/>
    <s v="D"/>
    <s v="Y"/>
    <s v="Y"/>
    <x v="45"/>
    <s v="NANTO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7.84"/>
    <n v="1224.77"/>
    <n v="987.64"/>
    <n v="4997.79"/>
    <n v="0"/>
    <n v="0"/>
    <n v="787.84"/>
    <n v="1224.77"/>
    <n v="987.64"/>
    <n v="4997.79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0D3H"/>
    <n v="999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69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CI2)-HKHKG-(AX1)"/>
    <s v="58D5H"/>
    <n v="1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5.43"/>
    <n v="539.86"/>
    <n v="266.83999999999997"/>
    <n v="4648.3100000000004"/>
    <n v="0"/>
    <n v="0"/>
    <n v="385.43"/>
    <n v="539.86"/>
    <n v="266.83999999999997"/>
    <n v="4648.31000000000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3.93"/>
    <n v="683.08"/>
    <n v="683.08"/>
    <n v="0"/>
    <n v="0"/>
    <n v="0"/>
    <m/>
    <m/>
    <m/>
    <m/>
    <m/>
    <m/>
    <m/>
    <m/>
    <m/>
    <m/>
    <m/>
    <m/>
    <s v="CI2"/>
    <s v="AX1"/>
    <m/>
    <m/>
    <s v="S"/>
    <s v="56D17H"/>
    <n v="1283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1"/>
    <x v="11"/>
    <x v="11"/>
    <x v="0"/>
    <x v="0"/>
    <x v="0"/>
    <m/>
    <m/>
    <m/>
    <m/>
    <m/>
    <m/>
  </r>
  <r>
    <s v="LW"/>
    <s v="LWE"/>
    <s v="LWT"/>
    <s v="LW"/>
    <s v="AX1"/>
    <s v="E"/>
    <s v="(TIP)-SGSIN-(NX2)-KRPUS-(AX1)"/>
    <s v="54D11H"/>
    <n v="2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5.34"/>
    <n v="590.73"/>
    <n v="318.14999999999998"/>
    <n v="4662.21"/>
    <n v="0"/>
    <n v="0"/>
    <n v="475.34"/>
    <n v="590.73"/>
    <n v="318.14999999999998"/>
    <n v="4662.21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3.62"/>
    <n v="653.21"/>
    <n v="653.21"/>
    <n v="0"/>
    <n v="0"/>
    <n v="0"/>
    <m/>
    <m/>
    <m/>
    <m/>
    <m/>
    <m/>
    <m/>
    <m/>
    <m/>
    <m/>
    <m/>
    <m/>
    <s v="TIP"/>
    <s v="AX1"/>
    <m/>
    <m/>
    <s v="S"/>
    <s v="52D23H"/>
    <n v="1238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0"/>
    <x v="10"/>
    <x v="10"/>
    <x v="0"/>
    <x v="0"/>
    <x v="0"/>
    <m/>
    <m/>
    <m/>
    <m/>
    <m/>
    <m/>
  </r>
  <r>
    <s v="LW"/>
    <s v="LWE"/>
    <s v="LWT"/>
    <s v="LW"/>
    <s v="AX2"/>
    <s v="E"/>
    <s v="(CI2)-CNSHA-(AX2)"/>
    <s v="67D17H"/>
    <n v="1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76.49"/>
    <n v="360.51"/>
    <n v="94.56"/>
    <n v="4332.3500000000004"/>
    <n v="0"/>
    <n v="0"/>
    <n v="276.49"/>
    <n v="360.51"/>
    <n v="94.56"/>
    <n v="4332.35000000000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3.93"/>
    <n v="683.08"/>
    <n v="683.08"/>
    <n v="0"/>
    <n v="0"/>
    <n v="0"/>
    <m/>
    <m/>
    <m/>
    <m/>
    <m/>
    <m/>
    <m/>
    <m/>
    <m/>
    <m/>
    <m/>
    <m/>
    <s v="CI2"/>
    <s v="AX2"/>
    <m/>
    <m/>
    <s v="S"/>
    <s v="66D5H"/>
    <n v="1511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24.61460144"/>
    <n v="178.63640214"/>
    <n v="179.32640214"/>
    <n v="118.342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1"/>
    <x v="11"/>
    <x v="11"/>
    <x v="0"/>
    <x v="0"/>
    <x v="0"/>
    <m/>
    <m/>
    <m/>
    <m/>
    <m/>
    <m/>
  </r>
  <r>
    <s v="LW"/>
    <s v="LWE"/>
    <s v="LWT"/>
    <s v="LW"/>
    <s v="AX1"/>
    <s v="E"/>
    <s v="(CI2)-CNSHA-(AX1)"/>
    <s v="65D5H"/>
    <n v="2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83.14999999999998"/>
    <n v="377.85"/>
    <n v="111.9"/>
    <n v="4319.6899999999996"/>
    <n v="0"/>
    <n v="0"/>
    <n v="283.14999999999998"/>
    <n v="377.85"/>
    <n v="111.9"/>
    <n v="4319.689999999999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3.93"/>
    <n v="683.08"/>
    <n v="683.08"/>
    <n v="0"/>
    <n v="0"/>
    <n v="0"/>
    <m/>
    <m/>
    <m/>
    <m/>
    <m/>
    <m/>
    <m/>
    <m/>
    <m/>
    <m/>
    <m/>
    <m/>
    <s v="CI2"/>
    <s v="AX1"/>
    <m/>
    <m/>
    <s v="S"/>
    <s v="63D17H"/>
    <n v="1451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24.61460144"/>
    <n v="178.63640214"/>
    <n v="179.32640214"/>
    <n v="118.342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1"/>
    <x v="11"/>
    <x v="11"/>
    <x v="0"/>
    <x v="0"/>
    <x v="0"/>
    <m/>
    <m/>
    <m/>
    <m/>
    <m/>
    <m/>
  </r>
  <r>
    <s v="LW"/>
    <s v="LWE"/>
    <s v="LWT"/>
    <s v="LW"/>
    <s v="AX1"/>
    <s v="E"/>
    <s v="(TIP)-SGSIN-(AGX)-KRPUS-(AX1)"/>
    <s v="54D11H"/>
    <n v="2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5.34"/>
    <n v="590.73"/>
    <n v="318.14999999999998"/>
    <n v="4662.21"/>
    <n v="0"/>
    <n v="0"/>
    <n v="475.34"/>
    <n v="590.73"/>
    <n v="318.14999999999998"/>
    <n v="4662.21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3.62"/>
    <n v="653.21"/>
    <n v="653.21"/>
    <n v="0"/>
    <n v="0"/>
    <n v="0"/>
    <m/>
    <m/>
    <m/>
    <m/>
    <m/>
    <m/>
    <m/>
    <m/>
    <m/>
    <m/>
    <m/>
    <m/>
    <s v="TIP"/>
    <s v="AX1"/>
    <m/>
    <m/>
    <s v="S"/>
    <s v="52D23H"/>
    <n v="1238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CSW)-KRPUS-(AX1)"/>
    <s v="54D11H"/>
    <n v="2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6.02"/>
    <n v="660.82"/>
    <n v="388.24"/>
    <n v="4734.6099999999997"/>
    <n v="0"/>
    <n v="0"/>
    <n v="526.02"/>
    <n v="660.82"/>
    <n v="388.24"/>
    <n v="4734.6099999999997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3.62"/>
    <n v="653.21"/>
    <n v="653.21"/>
    <n v="0"/>
    <n v="0"/>
    <n v="0"/>
    <m/>
    <m/>
    <m/>
    <m/>
    <m/>
    <m/>
    <m/>
    <m/>
    <m/>
    <m/>
    <m/>
    <m/>
    <s v="TIP"/>
    <s v="AX1"/>
    <m/>
    <m/>
    <s v="S"/>
    <s v="52D23H"/>
    <n v="1238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0"/>
    <x v="10"/>
    <x v="10"/>
    <x v="0"/>
    <x v="0"/>
    <x v="0"/>
    <m/>
    <m/>
    <m/>
    <m/>
    <m/>
    <m/>
  </r>
  <r>
    <s v="LW"/>
    <s v="LWE"/>
    <s v="LWT"/>
    <s v="LW"/>
    <s v="AX2"/>
    <s v="E"/>
    <s v="(TIP)-SGSIN-(NX2)-KRPUS-(AX2)"/>
    <s v="56D23H"/>
    <n v="3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3.55999999999995"/>
    <n v="649.72"/>
    <n v="376.81"/>
    <n v="4756.95"/>
    <n v="0"/>
    <n v="0"/>
    <n v="523.55999999999995"/>
    <n v="649.72"/>
    <n v="376.81"/>
    <n v="4756.95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3.62"/>
    <n v="653.21"/>
    <n v="653.21"/>
    <n v="0"/>
    <n v="0"/>
    <n v="0"/>
    <m/>
    <m/>
    <m/>
    <m/>
    <m/>
    <m/>
    <m/>
    <m/>
    <m/>
    <m/>
    <m/>
    <m/>
    <s v="TIP"/>
    <s v="AX2"/>
    <m/>
    <m/>
    <s v="T"/>
    <s v="55D11H"/>
    <n v="1298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0"/>
    <x v="10"/>
    <x v="10"/>
    <x v="0"/>
    <x v="0"/>
    <x v="0"/>
    <m/>
    <m/>
    <m/>
    <m/>
    <m/>
    <m/>
  </r>
  <r>
    <s v="LW"/>
    <s v="LWE"/>
    <s v="LWT"/>
    <s v="LW"/>
    <s v="AX2"/>
    <s v="E"/>
    <s v="(CI2)-HKHKG-(AX2)"/>
    <s v="53D17H"/>
    <n v="1"/>
    <s v="DR"/>
    <s v="D"/>
    <s v="Y"/>
    <s v="Y"/>
    <x v="16"/>
    <s v="NHAVA SHEVA"/>
    <x v="0"/>
    <s v="NHAVA SHEV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3.17"/>
    <n v="514.20000000000005"/>
    <n v="241.61"/>
    <n v="4648.05"/>
    <n v="0"/>
    <n v="0"/>
    <n v="373.17"/>
    <n v="514.20000000000005"/>
    <n v="241.61"/>
    <n v="4648.05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3.93"/>
    <n v="683.08"/>
    <n v="683.08"/>
    <n v="0"/>
    <n v="0"/>
    <n v="0"/>
    <m/>
    <m/>
    <m/>
    <m/>
    <m/>
    <m/>
    <m/>
    <m/>
    <m/>
    <m/>
    <m/>
    <m/>
    <s v="CI2"/>
    <s v="AX2"/>
    <m/>
    <m/>
    <s v="S"/>
    <s v="52D5H"/>
    <n v="117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64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1"/>
    <x v="11"/>
    <x v="11"/>
    <x v="0"/>
    <x v="0"/>
    <x v="0"/>
    <m/>
    <m/>
    <m/>
    <m/>
    <m/>
    <m/>
  </r>
  <r>
    <s v="LW"/>
    <s v="LWE"/>
    <s v="LWT"/>
    <s v="LW"/>
    <s v="AX2"/>
    <s v="E"/>
    <s v="(AX3)-KRPUS-(AX2)"/>
    <s v="52D3H"/>
    <n v="3"/>
    <s v="DR"/>
    <s v="D"/>
    <s v="Y"/>
    <s v="Y"/>
    <x v="17"/>
    <s v="NINGBO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1.99"/>
    <n v="751.04"/>
    <n v="542.63"/>
    <n v="858.49"/>
    <n v="0"/>
    <n v="0"/>
    <n v="501.99"/>
    <n v="751.04"/>
    <n v="542.63"/>
    <n v="858.49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94"/>
    <n v="658.44"/>
    <n v="658.44"/>
    <n v="0"/>
    <n v="0"/>
    <n v="0"/>
    <m/>
    <m/>
    <m/>
    <m/>
    <m/>
    <m/>
    <m/>
    <m/>
    <m/>
    <m/>
    <m/>
    <m/>
    <s v="AX3"/>
    <s v="AX2"/>
    <m/>
    <m/>
    <s v="T"/>
    <s v="50D15H"/>
    <n v="1170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24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1"/>
    <s v="E"/>
    <s v="(AX1)"/>
    <s v="31D15H"/>
    <n v="1"/>
    <s v="DR"/>
    <s v="D"/>
    <s v="Y"/>
    <s v="Y"/>
    <x v="17"/>
    <s v="NINGBO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6.31"/>
    <n v="509.7"/>
    <n v="303.48"/>
    <n v="561.83000000000004"/>
    <n v="0"/>
    <n v="0"/>
    <n v="326.31"/>
    <n v="509.7"/>
    <n v="303.48"/>
    <n v="561.83000000000004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94"/>
    <n v="658.44"/>
    <n v="658.44"/>
    <n v="0"/>
    <n v="0"/>
    <n v="0"/>
    <m/>
    <m/>
    <m/>
    <m/>
    <m/>
    <m/>
    <m/>
    <m/>
    <m/>
    <m/>
    <m/>
    <m/>
    <s v="AX1"/>
    <s v="AX1"/>
    <m/>
    <m/>
    <s v="S"/>
    <s v="30D3H"/>
    <n v="669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"/>
    <n v="66.56"/>
    <n v="63.04"/>
    <n v="103.3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24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2"/>
    <s v="E"/>
    <s v="(AX2)"/>
    <s v="31D15H"/>
    <n v="1"/>
    <s v="DR"/>
    <s v="D"/>
    <s v="Y"/>
    <s v="Y"/>
    <x v="17"/>
    <s v="NINGBO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19.64999999999998"/>
    <n v="492.36"/>
    <n v="286.14"/>
    <n v="574.49"/>
    <n v="0"/>
    <n v="0"/>
    <n v="319.64999999999998"/>
    <n v="492.36"/>
    <n v="286.14"/>
    <n v="574.49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94"/>
    <n v="658.44"/>
    <n v="658.44"/>
    <n v="0"/>
    <n v="0"/>
    <n v="0"/>
    <m/>
    <m/>
    <m/>
    <m/>
    <m/>
    <m/>
    <m/>
    <m/>
    <m/>
    <m/>
    <m/>
    <m/>
    <s v="AX2"/>
    <s v="AX2"/>
    <m/>
    <m/>
    <s v="S"/>
    <s v="30D3H"/>
    <n v="692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"/>
    <n v="66.56"/>
    <n v="63.04"/>
    <n v="103.3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24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3"/>
    <s v="E"/>
    <s v="(AX3)"/>
    <s v="42D0H"/>
    <n v="1"/>
    <s v="DR"/>
    <s v="D"/>
    <s v="Y"/>
    <s v="Y"/>
    <x v="17"/>
    <s v="NINGBO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0.31"/>
    <n v="530.5"/>
    <n v="323.18"/>
    <n v="594.13"/>
    <n v="0"/>
    <n v="0"/>
    <n v="340.31"/>
    <n v="530.5"/>
    <n v="323.18"/>
    <n v="594.13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94"/>
    <n v="658.44"/>
    <n v="658.44"/>
    <n v="0"/>
    <n v="0"/>
    <n v="0"/>
    <m/>
    <m/>
    <m/>
    <m/>
    <m/>
    <m/>
    <m/>
    <m/>
    <m/>
    <m/>
    <m/>
    <m/>
    <s v="AX3"/>
    <s v="AX3"/>
    <m/>
    <m/>
    <s v="S"/>
    <s v="40D12H"/>
    <n v="927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24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1"/>
    <s v="E"/>
    <s v="(AX3)-KRPUS-(AX1)"/>
    <s v="42D15H"/>
    <n v="3"/>
    <s v="DR"/>
    <s v="D"/>
    <s v="Y"/>
    <s v="Y"/>
    <x v="17"/>
    <s v="NINGBO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5.37"/>
    <n v="679.58"/>
    <n v="472.15"/>
    <n v="744.36"/>
    <n v="0"/>
    <n v="0"/>
    <n v="445.37"/>
    <n v="679.58"/>
    <n v="472.15"/>
    <n v="744.36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94"/>
    <n v="658.44"/>
    <n v="658.44"/>
    <n v="0"/>
    <n v="0"/>
    <n v="0"/>
    <m/>
    <m/>
    <m/>
    <m/>
    <m/>
    <m/>
    <m/>
    <m/>
    <m/>
    <m/>
    <m/>
    <m/>
    <s v="AX3"/>
    <s v="AX1"/>
    <m/>
    <m/>
    <s v="T"/>
    <s v="41D3H"/>
    <n v="942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24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1"/>
    <s v="E"/>
    <s v="(AX1)-KRPUS-(AX1)"/>
    <s v="38D15H"/>
    <n v="3"/>
    <s v="DR"/>
    <s v="D"/>
    <s v="Y"/>
    <s v="Y"/>
    <x v="17"/>
    <s v="NINGBO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9.77"/>
    <n v="671.26"/>
    <n v="464.27"/>
    <n v="731.44"/>
    <n v="0"/>
    <n v="0"/>
    <n v="439.77"/>
    <n v="671.26"/>
    <n v="464.27"/>
    <n v="731.44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94"/>
    <n v="658.44"/>
    <n v="658.44"/>
    <n v="0"/>
    <n v="0"/>
    <n v="0"/>
    <m/>
    <m/>
    <m/>
    <m/>
    <m/>
    <m/>
    <m/>
    <m/>
    <m/>
    <m/>
    <m/>
    <m/>
    <s v="AX1"/>
    <s v="AX1"/>
    <m/>
    <m/>
    <s v="T"/>
    <s v="37D3H"/>
    <n v="837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424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1"/>
    <s v="E"/>
    <s v="(9SQ)-SGSIN-(CSW)-KRPUS-(AX1)"/>
    <s v="49D15H"/>
    <n v="1"/>
    <s v="DR"/>
    <s v="D"/>
    <s v="Y"/>
    <s v="Y"/>
    <x v="46"/>
    <s v="PASIR GUDANG"/>
    <x v="29"/>
    <s v="PASIR GUD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4.08000000000004"/>
    <n v="1079.57"/>
    <n v="563.74"/>
    <n v="1097.0899999999999"/>
    <n v="0"/>
    <n v="0"/>
    <n v="654.08000000000004"/>
    <n v="1079.57"/>
    <n v="563.74"/>
    <n v="1097.0899999999999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9SQ"/>
    <s v="AX1"/>
    <m/>
    <m/>
    <s v="S"/>
    <s v="48D3H"/>
    <n v="1142"/>
    <s v="2018-09-29"/>
    <s v="Historical averaged cost."/>
    <n v="2.64"/>
    <n v="2.64"/>
    <n v="2.64"/>
    <n v="2.6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28.11596857000001"/>
    <n v="290.85798686999999"/>
    <n v="290.85798686999999"/>
    <n v="293.16998487000001"/>
    <n v="0"/>
    <n v="0"/>
    <n v="125"/>
    <n v="225"/>
    <n v="225"/>
    <n v="235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665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9SQ)-SGSIN-(AGX)-KRPUS-(AX2)"/>
    <s v="59D3H"/>
    <n v="2"/>
    <s v="DR"/>
    <s v="D"/>
    <s v="Y"/>
    <s v="Y"/>
    <x v="46"/>
    <s v="PASIR GUDANG"/>
    <x v="29"/>
    <s v="PASIR GUD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0.02"/>
    <n v="1080.95"/>
    <n v="564.13"/>
    <n v="1138.82"/>
    <n v="0"/>
    <n v="0"/>
    <n v="660.02"/>
    <n v="1080.95"/>
    <n v="564.13"/>
    <n v="1138.82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9SQ"/>
    <s v="AX2"/>
    <m/>
    <m/>
    <s v="S"/>
    <s v="57D15H"/>
    <n v="1370"/>
    <s v="2018-09-29"/>
    <s v="Historical averaged cost."/>
    <n v="2.64"/>
    <n v="2.64"/>
    <n v="2.64"/>
    <n v="2.6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28.11596857000001"/>
    <n v="290.85798686999999"/>
    <n v="290.85798686999999"/>
    <n v="293.16998487000001"/>
    <n v="0"/>
    <n v="0"/>
    <n v="125"/>
    <n v="225"/>
    <n v="225"/>
    <n v="235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665000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9SQ)-SGSIN-(MD3)-KRPUS-(AX2)"/>
    <s v="52D3H"/>
    <n v="2"/>
    <s v="DR"/>
    <s v="D"/>
    <s v="Y"/>
    <s v="Y"/>
    <x v="46"/>
    <s v="PASIR GUDANG"/>
    <x v="29"/>
    <s v="PASIR GUD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0.22"/>
    <n v="1066.3900000000001"/>
    <n v="550.34"/>
    <n v="1116.21"/>
    <n v="0"/>
    <n v="0"/>
    <n v="650.22"/>
    <n v="1066.3900000000001"/>
    <n v="550.34"/>
    <n v="1116.21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9SQ"/>
    <s v="AX2"/>
    <m/>
    <m/>
    <s v="S"/>
    <s v="50D15H"/>
    <n v="1202"/>
    <s v="2018-09-29"/>
    <s v="Historical averaged cost."/>
    <n v="2.64"/>
    <n v="2.64"/>
    <n v="2.64"/>
    <n v="2.6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28.11596857000001"/>
    <n v="290.85798686999999"/>
    <n v="290.85798686999999"/>
    <n v="293.16998487000001"/>
    <n v="0"/>
    <n v="0"/>
    <n v="125"/>
    <n v="225"/>
    <n v="225"/>
    <n v="235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665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9SQ)-SGSIN-(AGX)-KRPUS-(AX1)"/>
    <s v="56D15H"/>
    <n v="2"/>
    <s v="DR"/>
    <s v="D"/>
    <s v="Y"/>
    <s v="Y"/>
    <x v="46"/>
    <s v="PASIR GUDANG"/>
    <x v="29"/>
    <s v="PASIR GUD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20000000000005"/>
    <n v="1024.04"/>
    <n v="507.45"/>
    <n v="1047.3"/>
    <n v="0"/>
    <n v="0"/>
    <n v="613.20000000000005"/>
    <n v="1024.04"/>
    <n v="507.45"/>
    <n v="1047.3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9SQ"/>
    <s v="AX1"/>
    <m/>
    <m/>
    <s v="S"/>
    <s v="55D3H"/>
    <n v="1310"/>
    <s v="2018-09-29"/>
    <s v="Historical averaged cost."/>
    <n v="2.64"/>
    <n v="2.64"/>
    <n v="2.64"/>
    <n v="2.6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665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9SQ)-SGSIN-(CSW)-KRPUS-(AX2)"/>
    <s v="52D3H"/>
    <n v="1"/>
    <s v="DR"/>
    <s v="D"/>
    <s v="Y"/>
    <s v="Y"/>
    <x v="46"/>
    <s v="PASIR GUDANG"/>
    <x v="29"/>
    <s v="PASIR GUD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7.87"/>
    <n v="994"/>
    <n v="477.96"/>
    <n v="1046.1400000000001"/>
    <n v="0"/>
    <n v="0"/>
    <n v="597.87"/>
    <n v="994"/>
    <n v="477.96"/>
    <n v="1046.1400000000001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9SQ"/>
    <s v="AX2"/>
    <m/>
    <m/>
    <s v="S"/>
    <s v="50D15H"/>
    <n v="1202"/>
    <s v="2018-09-29"/>
    <s v="Historical averaged cost."/>
    <n v="2.64"/>
    <n v="2.64"/>
    <n v="2.64"/>
    <n v="2.6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75.75882557"/>
    <n v="218.47349356999999"/>
    <n v="218.47349356999999"/>
    <n v="223.09748956999999"/>
    <n v="0"/>
    <n v="0"/>
    <n v="125"/>
    <n v="225"/>
    <n v="225"/>
    <n v="235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665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NX2)-KRPUS-(AX2)"/>
    <s v="52D19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86"/>
    <n v="943.82"/>
    <n v="784.15"/>
    <n v="973.41"/>
    <n v="0"/>
    <n v="0"/>
    <n v="613.86"/>
    <n v="943.82"/>
    <n v="784.15"/>
    <n v="973.4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2"/>
    <m/>
    <m/>
    <s v="S"/>
    <s v="51D7H"/>
    <n v="117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MD3)-KRPUS-(AX2)"/>
    <s v="52D19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86"/>
    <n v="943.82"/>
    <n v="784.15"/>
    <n v="973.41"/>
    <n v="0"/>
    <n v="0"/>
    <n v="613.86"/>
    <n v="943.82"/>
    <n v="784.15"/>
    <n v="973.4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2"/>
    <m/>
    <m/>
    <s v="S"/>
    <s v="51D7H"/>
    <n v="117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PF2)-SGSIN-(MD2)-KRPUS-(AX2)"/>
    <s v="52D19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86"/>
    <n v="943.82"/>
    <n v="784.15"/>
    <n v="973.41"/>
    <n v="0"/>
    <n v="0"/>
    <n v="613.86"/>
    <n v="943.82"/>
    <n v="784.15"/>
    <n v="973.4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2"/>
    <m/>
    <m/>
    <s v="S"/>
    <s v="51D7H"/>
    <n v="117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NX2)-KRPUS-(AX1)"/>
    <s v="43D7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5.84"/>
    <n v="870.28"/>
    <n v="711.7"/>
    <n v="856.05"/>
    <n v="0"/>
    <n v="0"/>
    <n v="555.84"/>
    <n v="870.28"/>
    <n v="711.7"/>
    <n v="856.0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1"/>
    <m/>
    <m/>
    <s v="S"/>
    <s v="41D19H"/>
    <n v="943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3)-KRPUS-(AX1)"/>
    <s v="57D7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44000000000005"/>
    <n v="899.4"/>
    <n v="739.28"/>
    <n v="901.27"/>
    <n v="0"/>
    <n v="0"/>
    <n v="575.44000000000005"/>
    <n v="899.4"/>
    <n v="739.28"/>
    <n v="901.2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1"/>
    <m/>
    <m/>
    <s v="S"/>
    <s v="55D19H"/>
    <n v="1279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0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2)-KRPUS-(AX1)"/>
    <s v="50D7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5.64"/>
    <n v="884.84"/>
    <n v="725.49"/>
    <n v="878.66"/>
    <n v="0"/>
    <n v="0"/>
    <n v="565.64"/>
    <n v="884.84"/>
    <n v="725.49"/>
    <n v="878.66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1"/>
    <m/>
    <m/>
    <s v="S"/>
    <s v="48D19H"/>
    <n v="111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7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AGX)-KRPUS-(AX1)"/>
    <s v="55D15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4.04"/>
    <n v="897.32"/>
    <n v="737.31"/>
    <n v="898.04"/>
    <n v="0"/>
    <n v="0"/>
    <n v="574.04"/>
    <n v="897.32"/>
    <n v="737.31"/>
    <n v="898.04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1"/>
    <m/>
    <m/>
    <s v="S"/>
    <s v="54D3H"/>
    <n v="1269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7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KME)-KRPUS-(AX1)"/>
    <s v="50D7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9.57000000000005"/>
    <n v="962.06"/>
    <n v="802.72"/>
    <n v="963.77"/>
    <n v="0"/>
    <n v="0"/>
    <n v="619.57000000000005"/>
    <n v="962.06"/>
    <n v="802.72"/>
    <n v="963.7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1"/>
    <m/>
    <m/>
    <s v="S"/>
    <s v="48D19H"/>
    <n v="111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9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AR1)-KRPUS-(AX1)"/>
    <s v="48D15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4.24"/>
    <n v="882.76"/>
    <n v="723.52"/>
    <n v="875.43"/>
    <n v="0"/>
    <n v="0"/>
    <n v="564.24"/>
    <n v="882.76"/>
    <n v="723.52"/>
    <n v="875.43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1"/>
    <m/>
    <m/>
    <s v="S"/>
    <s v="47D3H"/>
    <n v="110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9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CSW)-KRPUS-(AX1)"/>
    <s v="50D7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6.32000000000005"/>
    <n v="954.92"/>
    <n v="795.58"/>
    <n v="951.06"/>
    <n v="0"/>
    <n v="0"/>
    <n v="616.32000000000005"/>
    <n v="954.92"/>
    <n v="795.58"/>
    <n v="951.06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1"/>
    <m/>
    <m/>
    <s v="S"/>
    <s v="48D19H"/>
    <n v="111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PF1)-SGSIN-(MD2)-KRPUS-(AX2)"/>
    <s v="51D3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1.05999999999995"/>
    <n v="939.66"/>
    <n v="780.21"/>
    <n v="966.95"/>
    <n v="0"/>
    <n v="0"/>
    <n v="611.05999999999995"/>
    <n v="939.66"/>
    <n v="780.21"/>
    <n v="966.9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2"/>
    <m/>
    <m/>
    <s v="S"/>
    <s v="49D15H"/>
    <n v="116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MD3)-KRPUS-(AX1)"/>
    <s v="55D15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4.04"/>
    <n v="897.32"/>
    <n v="737.31"/>
    <n v="898.04"/>
    <n v="0"/>
    <n v="0"/>
    <n v="574.04"/>
    <n v="897.32"/>
    <n v="737.31"/>
    <n v="898.04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1"/>
    <m/>
    <m/>
    <s v="S"/>
    <s v="54D3H"/>
    <n v="1269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8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CSW)-KRPUS-(AX1)"/>
    <s v="48D15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4.91999999999996"/>
    <n v="952.84"/>
    <n v="793.61"/>
    <n v="947.83"/>
    <n v="0"/>
    <n v="0"/>
    <n v="614.91999999999996"/>
    <n v="952.84"/>
    <n v="793.61"/>
    <n v="947.83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1"/>
    <m/>
    <m/>
    <s v="S"/>
    <s v="47D3H"/>
    <n v="110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3"/>
    <s v="E"/>
    <s v="(PF2)-SGSIN-(AR1)-KRPUS-(AX3)"/>
    <s v="56D16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44000000000005"/>
    <n v="899.4"/>
    <n v="739.28"/>
    <n v="901.27"/>
    <n v="0"/>
    <n v="0"/>
    <n v="575.44000000000005"/>
    <n v="899.4"/>
    <n v="739.28"/>
    <n v="901.2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3"/>
    <m/>
    <m/>
    <s v="S"/>
    <s v="55D4H"/>
    <n v="1264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6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3"/>
    <s v="E"/>
    <s v="(PF2)-SGSIN-(MD3)-KRPUS-(AX3)"/>
    <s v="56D16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44000000000005"/>
    <n v="899.4"/>
    <n v="739.28"/>
    <n v="901.27"/>
    <n v="0"/>
    <n v="0"/>
    <n v="575.44000000000005"/>
    <n v="899.4"/>
    <n v="739.28"/>
    <n v="901.2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3"/>
    <m/>
    <m/>
    <s v="S"/>
    <s v="55D4H"/>
    <n v="1264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3"/>
    <s v="E"/>
    <s v="(PF2)-SGSIN-(NX2)-KRPUS-(AX3)"/>
    <s v="49D16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5.64"/>
    <n v="884.84"/>
    <n v="725.49"/>
    <n v="878.66"/>
    <n v="0"/>
    <n v="0"/>
    <n v="565.64"/>
    <n v="884.84"/>
    <n v="725.49"/>
    <n v="878.66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3"/>
    <m/>
    <m/>
    <s v="S"/>
    <s v="48D4H"/>
    <n v="1096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20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3"/>
    <s v="E"/>
    <s v="(PF1)-SGSIN-(MD3)-KRPUS-(AX3)"/>
    <s v="55D0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2.64"/>
    <n v="895.24"/>
    <n v="735.34"/>
    <n v="894.81"/>
    <n v="0"/>
    <n v="0"/>
    <n v="572.64"/>
    <n v="895.24"/>
    <n v="735.34"/>
    <n v="894.8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3"/>
    <m/>
    <m/>
    <s v="S"/>
    <s v="53D12H"/>
    <n v="1254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2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3"/>
    <s v="E"/>
    <s v="(PF1)-SGSIN-(MD2)-KRPUS-(AX3)"/>
    <s v="55D0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2.64"/>
    <n v="895.24"/>
    <n v="735.34"/>
    <n v="894.81"/>
    <n v="0"/>
    <n v="0"/>
    <n v="572.64"/>
    <n v="895.24"/>
    <n v="735.34"/>
    <n v="894.8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3"/>
    <m/>
    <m/>
    <s v="S"/>
    <s v="53D12H"/>
    <n v="1254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2"/>
    <s v="E"/>
    <s v="(PF1)-SGSIN-(MD3)-KRPUS-(AX2)"/>
    <s v="51D3H"/>
    <n v="2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1.05999999999995"/>
    <n v="939.66"/>
    <n v="780.21"/>
    <n v="966.95"/>
    <n v="0"/>
    <n v="0"/>
    <n v="611.05999999999995"/>
    <n v="939.66"/>
    <n v="780.21"/>
    <n v="966.9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2"/>
    <m/>
    <m/>
    <s v="S"/>
    <s v="49D15H"/>
    <n v="116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18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MD2)-KRPUS-(AX1)"/>
    <s v="48D15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4.24"/>
    <n v="882.76"/>
    <n v="723.52"/>
    <n v="875.43"/>
    <n v="0"/>
    <n v="0"/>
    <n v="564.24"/>
    <n v="882.76"/>
    <n v="723.52"/>
    <n v="875.43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1"/>
    <s v="AX1"/>
    <m/>
    <m/>
    <s v="S"/>
    <s v="47D3H"/>
    <n v="1101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AGX)-KRPUS-(AX1)"/>
    <s v="57D7H"/>
    <n v="1"/>
    <s v="DR"/>
    <s v="D"/>
    <s v="Y"/>
    <s v="Y"/>
    <x v="18"/>
    <s v="PENANG"/>
    <x v="16"/>
    <s v="PEN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44000000000005"/>
    <n v="899.4"/>
    <n v="739.28"/>
    <n v="901.27"/>
    <n v="0"/>
    <n v="0"/>
    <n v="575.44000000000005"/>
    <n v="899.4"/>
    <n v="739.28"/>
    <n v="901.2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92"/>
    <n v="658.53"/>
    <n v="658.53"/>
    <n v="0"/>
    <n v="0"/>
    <n v="0"/>
    <m/>
    <m/>
    <m/>
    <m/>
    <m/>
    <m/>
    <m/>
    <m/>
    <m/>
    <m/>
    <m/>
    <m/>
    <s v="PF2"/>
    <s v="AX1"/>
    <m/>
    <m/>
    <s v="S"/>
    <s v="55D19H"/>
    <n v="1279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2760006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3"/>
    <x v="3"/>
    <x v="13"/>
    <x v="13"/>
    <x v="13"/>
    <x v="0"/>
    <x v="0"/>
    <x v="0"/>
    <m/>
    <m/>
    <m/>
    <m/>
    <m/>
    <m/>
  </r>
  <r>
    <s v="LW"/>
    <s v="LWE"/>
    <s v="LWT"/>
    <s v="LW"/>
    <s v="AX1"/>
    <s v="E"/>
    <s v="(TIP)-SGSIN-(AGX)-KRPUS-(AX1)"/>
    <s v="68D0H"/>
    <n v="2"/>
    <s v="DR"/>
    <s v="D"/>
    <s v="Y"/>
    <s v="Y"/>
    <x v="19"/>
    <s v="PIPAVAV"/>
    <x v="5"/>
    <s v="PIPAVAV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8.86"/>
    <n v="541.83000000000004"/>
    <n v="430.05"/>
    <n v="4360.34"/>
    <n v="0"/>
    <n v="0"/>
    <n v="398.86"/>
    <n v="541.83000000000004"/>
    <n v="430.05"/>
    <n v="4360.34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7.54"/>
    <n v="653.92999999999995"/>
    <n v="653.92999999999995"/>
    <n v="0"/>
    <n v="0"/>
    <n v="0"/>
    <m/>
    <m/>
    <m/>
    <m/>
    <m/>
    <m/>
    <m/>
    <m/>
    <m/>
    <m/>
    <m/>
    <m/>
    <s v="TIP"/>
    <s v="AX1"/>
    <m/>
    <m/>
    <s v="S"/>
    <s v="66D12H"/>
    <n v="1570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18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4"/>
    <x v="14"/>
    <x v="14"/>
    <x v="0"/>
    <x v="0"/>
    <x v="0"/>
    <m/>
    <m/>
    <m/>
    <m/>
    <m/>
    <m/>
  </r>
  <r>
    <s v="LW"/>
    <s v="LWE"/>
    <s v="LWT"/>
    <s v="LW"/>
    <s v="AX2"/>
    <s v="E"/>
    <s v="(PS3)-SGSIN-(AGX)-KRPUS-(AX2)"/>
    <s v="69D5H"/>
    <n v="2"/>
    <s v="DR"/>
    <s v="D"/>
    <s v="Y"/>
    <s v="Y"/>
    <x v="19"/>
    <s v="PIPAVAV"/>
    <x v="5"/>
    <s v="PIPAVAV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2.88"/>
    <n v="594.58000000000004"/>
    <n v="482.8"/>
    <n v="4445.3900000000003"/>
    <n v="0"/>
    <n v="0"/>
    <n v="442.88"/>
    <n v="594.58000000000004"/>
    <n v="482.8"/>
    <n v="4445.3900000000003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7.54"/>
    <n v="653.92999999999995"/>
    <n v="653.92999999999995"/>
    <n v="0"/>
    <n v="0"/>
    <n v="0"/>
    <m/>
    <m/>
    <m/>
    <m/>
    <m/>
    <m/>
    <m/>
    <m/>
    <m/>
    <m/>
    <m/>
    <m/>
    <s v="PS3"/>
    <s v="AX2"/>
    <m/>
    <m/>
    <s v="S"/>
    <s v="67D17H"/>
    <n v="1595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18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4"/>
    <x v="14"/>
    <x v="14"/>
    <x v="0"/>
    <x v="0"/>
    <x v="0"/>
    <m/>
    <m/>
    <m/>
    <m/>
    <m/>
    <m/>
  </r>
  <r>
    <s v="LW"/>
    <s v="LWE"/>
    <s v="LWT"/>
    <s v="LW"/>
    <s v="AX3"/>
    <s v="E"/>
    <s v="(PS3)-SGSIN-(AGX)-KRPUS-(AX3)"/>
    <s v="73D2H"/>
    <n v="2"/>
    <s v="DR"/>
    <s v="D"/>
    <s v="Y"/>
    <s v="Y"/>
    <x v="19"/>
    <s v="PIPAVAV"/>
    <x v="5"/>
    <s v="PIPAVAV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8.86"/>
    <n v="541.83000000000004"/>
    <n v="430.05"/>
    <n v="4360.34"/>
    <n v="0"/>
    <n v="0"/>
    <n v="398.86"/>
    <n v="541.83000000000004"/>
    <n v="430.05"/>
    <n v="4360.34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7.54"/>
    <n v="653.92999999999995"/>
    <n v="653.92999999999995"/>
    <n v="0"/>
    <n v="0"/>
    <n v="0"/>
    <m/>
    <m/>
    <m/>
    <m/>
    <m/>
    <m/>
    <m/>
    <m/>
    <m/>
    <m/>
    <m/>
    <m/>
    <s v="PS3"/>
    <s v="AX3"/>
    <m/>
    <m/>
    <s v="S"/>
    <s v="71D14H"/>
    <n v="1688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18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4"/>
    <x v="14"/>
    <x v="14"/>
    <x v="0"/>
    <x v="0"/>
    <x v="0"/>
    <m/>
    <m/>
    <m/>
    <m/>
    <m/>
    <m/>
  </r>
  <r>
    <s v="LW"/>
    <s v="LWE"/>
    <s v="LWT"/>
    <s v="LW"/>
    <s v="AX2"/>
    <s v="E"/>
    <s v="(TIP)-SGSIN-(AGX)-KRPUS-(AX2)"/>
    <s v="70D12H"/>
    <n v="2"/>
    <s v="DR"/>
    <s v="D"/>
    <s v="Y"/>
    <s v="Y"/>
    <x v="19"/>
    <s v="PIPAVAV"/>
    <x v="5"/>
    <s v="PIPAVAV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2.88"/>
    <n v="594.58000000000004"/>
    <n v="482.8"/>
    <n v="4445.3900000000003"/>
    <n v="0"/>
    <n v="0"/>
    <n v="442.88"/>
    <n v="594.58000000000004"/>
    <n v="482.8"/>
    <n v="4445.3900000000003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7.54"/>
    <n v="653.92999999999995"/>
    <n v="653.92999999999995"/>
    <n v="0"/>
    <n v="0"/>
    <n v="0"/>
    <m/>
    <m/>
    <m/>
    <m/>
    <m/>
    <m/>
    <m/>
    <m/>
    <m/>
    <m/>
    <m/>
    <m/>
    <s v="TIP"/>
    <s v="AX2"/>
    <m/>
    <m/>
    <s v="S"/>
    <s v="69D0H"/>
    <n v="1630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18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4"/>
    <x v="14"/>
    <x v="14"/>
    <x v="0"/>
    <x v="0"/>
    <x v="0"/>
    <m/>
    <m/>
    <m/>
    <m/>
    <m/>
    <m/>
  </r>
  <r>
    <s v="LW"/>
    <s v="LWE"/>
    <s v="LWT"/>
    <s v="LW"/>
    <s v="AX3"/>
    <s v="E"/>
    <s v="(TIP)-SGSIN-(AGX)-KRPUS-(AX3)"/>
    <s v="74D9H"/>
    <n v="2"/>
    <s v="DR"/>
    <s v="D"/>
    <s v="Y"/>
    <s v="Y"/>
    <x v="19"/>
    <s v="PIPAVAV"/>
    <x v="5"/>
    <s v="PIPAVAV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8.86"/>
    <n v="541.83000000000004"/>
    <n v="430.05"/>
    <n v="4360.34"/>
    <n v="0"/>
    <n v="0"/>
    <n v="398.86"/>
    <n v="541.83000000000004"/>
    <n v="430.05"/>
    <n v="4360.34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17.54"/>
    <n v="653.92999999999995"/>
    <n v="653.92999999999995"/>
    <n v="0"/>
    <n v="0"/>
    <n v="0"/>
    <m/>
    <m/>
    <m/>
    <m/>
    <m/>
    <m/>
    <m/>
    <m/>
    <m/>
    <m/>
    <m/>
    <m/>
    <s v="TIP"/>
    <s v="AX3"/>
    <m/>
    <m/>
    <s v="S"/>
    <s v="72D21H"/>
    <n v="1723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918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14"/>
    <x v="14"/>
    <x v="14"/>
    <x v="0"/>
    <x v="0"/>
    <x v="0"/>
    <m/>
    <m/>
    <m/>
    <m/>
    <m/>
    <m/>
  </r>
  <r>
    <s v="LW"/>
    <s v="LWE"/>
    <s v="LWT"/>
    <s v="LW"/>
    <s v="AX2"/>
    <s v="E"/>
    <s v="(AX2)"/>
    <s v="29D19H"/>
    <n v="1"/>
    <s v="DR"/>
    <s v="D"/>
    <s v="Y"/>
    <s v="Y"/>
    <x v="20"/>
    <s v="PUSAN"/>
    <x v="17"/>
    <s v="PUS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5.21"/>
    <n v="458.62"/>
    <n v="230.74"/>
    <n v="478.89"/>
    <n v="0"/>
    <n v="0"/>
    <n v="355.21"/>
    <n v="458.62"/>
    <n v="230.74"/>
    <n v="478.89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21"/>
    <n v="674.61"/>
    <n v="674.61"/>
    <n v="0"/>
    <n v="0"/>
    <n v="0"/>
    <m/>
    <m/>
    <m/>
    <m/>
    <m/>
    <m/>
    <m/>
    <m/>
    <m/>
    <m/>
    <m/>
    <m/>
    <s v="AX2"/>
    <s v="AX2"/>
    <m/>
    <m/>
    <s v="S"/>
    <s v="28D8H"/>
    <n v="637"/>
    <s v="2018-09-29"/>
    <s v="Historical averaged cost."/>
    <n v="102.23587000000001"/>
    <n v="144.99600000000001"/>
    <n v="144.99600000000001"/>
    <n v="149.26430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62.4"/>
    <n v="59.1"/>
    <n v="96.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0590002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3"/>
    <x v="3"/>
    <x v="3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1"/>
    <s v="E"/>
    <s v="(AX1)"/>
    <s v="27D19H"/>
    <n v="1"/>
    <s v="DR"/>
    <s v="D"/>
    <s v="Y"/>
    <s v="Y"/>
    <x v="20"/>
    <s v="PUSAN"/>
    <x v="17"/>
    <s v="PUS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6.28"/>
    <n v="465.71"/>
    <n v="238.05"/>
    <n v="449.41"/>
    <n v="0"/>
    <n v="0"/>
    <n v="356.28"/>
    <n v="465.71"/>
    <n v="238.05"/>
    <n v="449.41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21"/>
    <n v="674.61"/>
    <n v="674.61"/>
    <n v="0"/>
    <n v="0"/>
    <n v="0"/>
    <m/>
    <m/>
    <m/>
    <m/>
    <m/>
    <m/>
    <m/>
    <m/>
    <m/>
    <m/>
    <m/>
    <m/>
    <s v="AX1"/>
    <s v="AX1"/>
    <m/>
    <m/>
    <s v="S"/>
    <s v="26D7H"/>
    <n v="596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200000000000003"/>
    <n v="58.24"/>
    <n v="55.16"/>
    <n v="90.4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0590003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3"/>
    <x v="3"/>
    <x v="3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3"/>
    <s v="E"/>
    <s v="(AX3)"/>
    <s v="34D4H"/>
    <n v="1"/>
    <s v="DR"/>
    <s v="D"/>
    <s v="Y"/>
    <s v="Y"/>
    <x v="20"/>
    <s v="PUSAN"/>
    <x v="17"/>
    <s v="PUS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4.68"/>
    <n v="478.19"/>
    <n v="249.87"/>
    <n v="468.79"/>
    <n v="0"/>
    <n v="0"/>
    <n v="364.68"/>
    <n v="478.19"/>
    <n v="249.87"/>
    <n v="468.79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44.21"/>
    <n v="674.61"/>
    <n v="674.61"/>
    <n v="0"/>
    <n v="0"/>
    <n v="0"/>
    <m/>
    <m/>
    <m/>
    <m/>
    <m/>
    <m/>
    <m/>
    <m/>
    <m/>
    <m/>
    <m/>
    <m/>
    <s v="AX3"/>
    <s v="AX3"/>
    <m/>
    <m/>
    <s v="S"/>
    <s v="32D16H"/>
    <n v="744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0590001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3"/>
    <x v="3"/>
    <x v="3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2"/>
    <s v="E"/>
    <s v="(MD1)-KRPUS-(AX2)"/>
    <s v="36D20H"/>
    <n v="2"/>
    <s v="DR"/>
    <s v="D"/>
    <s v="Y"/>
    <s v="Y"/>
    <x v="21"/>
    <s v="QINGDAO, SHANDONG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6.72"/>
    <n v="678.04"/>
    <n v="479.15"/>
    <n v="784.98"/>
    <n v="0"/>
    <n v="0"/>
    <n v="496.72"/>
    <n v="678.04"/>
    <n v="479.15"/>
    <n v="784.98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MD1"/>
    <s v="AX2"/>
    <m/>
    <m/>
    <s v="S"/>
    <s v="35D8H"/>
    <n v="788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9001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3"/>
    <s v="E"/>
    <s v="(MD1)-KRPUS-(AX3)"/>
    <s v="40D17H"/>
    <n v="2"/>
    <s v="DR"/>
    <s v="D"/>
    <s v="Y"/>
    <s v="Y"/>
    <x v="21"/>
    <s v="QINGDAO, SHANDONG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8.3"/>
    <n v="633.62"/>
    <n v="434.28"/>
    <n v="712.85"/>
    <n v="0"/>
    <n v="0"/>
    <n v="458.3"/>
    <n v="633.62"/>
    <n v="434.28"/>
    <n v="712.85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MD1"/>
    <s v="AX3"/>
    <m/>
    <m/>
    <s v="S"/>
    <s v="39D5H"/>
    <n v="881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9001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"/>
    <s v="39D8H"/>
    <n v="2"/>
    <s v="DR"/>
    <s v="D"/>
    <s v="Y"/>
    <s v="Y"/>
    <x v="21"/>
    <s v="QINGDAO, SHANDONG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5.52"/>
    <n v="629.48"/>
    <n v="430.37"/>
    <n v="706.41"/>
    <n v="0"/>
    <n v="0"/>
    <n v="455.52"/>
    <n v="629.48"/>
    <n v="430.37"/>
    <n v="706.41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AX3"/>
    <s v="AX1"/>
    <m/>
    <m/>
    <s v="S"/>
    <s v="37D20H"/>
    <n v="823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9001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38D17H"/>
    <n v="1"/>
    <s v="DR"/>
    <s v="D"/>
    <s v="Y"/>
    <s v="Y"/>
    <x v="21"/>
    <s v="QINGDAO, SHANDONG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1.85"/>
    <n v="482.48"/>
    <n v="283.37"/>
    <n v="559.41"/>
    <n v="0"/>
    <n v="0"/>
    <n v="351.85"/>
    <n v="482.48"/>
    <n v="283.37"/>
    <n v="559.41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AX3"/>
    <s v="AX3"/>
    <m/>
    <m/>
    <s v="S"/>
    <s v="37D5H"/>
    <n v="808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9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"/>
    <s v="48D20H"/>
    <n v="1"/>
    <s v="DR"/>
    <s v="D"/>
    <s v="Y"/>
    <s v="Y"/>
    <x v="21"/>
    <s v="QINGDAO, SHANDONG"/>
    <x v="18"/>
    <s v="QINGDAO, SHAN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3.54"/>
    <n v="703.02"/>
    <n v="502.81"/>
    <n v="823.77"/>
    <n v="0"/>
    <n v="0"/>
    <n v="513.54"/>
    <n v="703.02"/>
    <n v="502.81"/>
    <n v="823.77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9.77"/>
    <n v="654.64"/>
    <n v="654.64"/>
    <n v="0"/>
    <n v="0"/>
    <n v="0"/>
    <m/>
    <m/>
    <m/>
    <m/>
    <m/>
    <m/>
    <m/>
    <m/>
    <m/>
    <m/>
    <m/>
    <m/>
    <s v="AX3"/>
    <s v="AX2"/>
    <m/>
    <m/>
    <s v="S"/>
    <s v="47D8H"/>
    <n v="1051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9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16"/>
    <x v="16"/>
    <x v="16"/>
    <x v="0"/>
    <x v="0"/>
    <x v="0"/>
    <m/>
    <m/>
    <m/>
    <m/>
    <m/>
    <m/>
  </r>
  <r>
    <s v="LW"/>
    <s v="LWE"/>
    <s v="LWT"/>
    <s v="LW"/>
    <s v="AX2"/>
    <s v="E"/>
    <s v="(AX2)"/>
    <s v="37D0H"/>
    <n v="1"/>
    <s v="DR"/>
    <s v="D"/>
    <s v="Y"/>
    <s v="Y"/>
    <x v="48"/>
    <s v="RONGQI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8.68"/>
    <n v="673.42"/>
    <n v="523.91"/>
    <n v="605.97"/>
    <n v="0"/>
    <n v="0"/>
    <n v="498.68"/>
    <n v="673.42"/>
    <n v="523.91"/>
    <n v="605.97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5D6H"/>
    <n v="758"/>
    <s v="2018-09-29"/>
    <s v="Historical averaged cost."/>
    <n v="152.66703000000001"/>
    <n v="230.55654000000001"/>
    <n v="230.55654000000001"/>
    <n v="270.17982999999998"/>
    <n v="0"/>
    <n v="0"/>
    <n v="50.962420000000002"/>
    <n v="82.813940000000002"/>
    <n v="82.813940000000002"/>
    <n v="91.09533000000000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90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9D14H"/>
    <n v="1"/>
    <s v="DR"/>
    <s v="D"/>
    <s v="Y"/>
    <s v="Y"/>
    <x v="48"/>
    <s v="RONGQI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2"/>
    <n v="659.83"/>
    <n v="509.99"/>
    <n v="577.63"/>
    <n v="0"/>
    <n v="0"/>
    <n v="480.2"/>
    <n v="659.83"/>
    <n v="509.99"/>
    <n v="577.63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7D21H"/>
    <n v="790"/>
    <s v="2018-09-29"/>
    <s v="Historical averaged cost."/>
    <n v="110.87472"/>
    <n v="166.13449"/>
    <n v="166.13449"/>
    <n v="183.10584"/>
    <n v="0"/>
    <n v="0"/>
    <n v="70.073329999999999"/>
    <n v="127.40606"/>
    <n v="127.40606"/>
    <n v="140.14667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9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9D5H"/>
    <n v="1"/>
    <s v="DR"/>
    <s v="D"/>
    <s v="Y"/>
    <s v="Y"/>
    <x v="48"/>
    <s v="RONGQI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1.78"/>
    <n v="673.11"/>
    <n v="523.38"/>
    <n v="404.93"/>
    <n v="0"/>
    <n v="0"/>
    <n v="491.78"/>
    <n v="673.11"/>
    <n v="523.38"/>
    <n v="404.93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12H"/>
    <n v="789"/>
    <s v="2018-09-29"/>
    <s v="Historical averaged cost."/>
    <n v="88.532589999999999"/>
    <n v="132.29938999999999"/>
    <n v="132.29938999999999"/>
    <n v="165.43816000000001"/>
    <n v="0"/>
    <n v="0"/>
    <n v="98.739699999999999"/>
    <n v="159.25756999999999"/>
    <n v="159.25756999999999"/>
    <n v="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90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20H"/>
    <n v="1"/>
    <s v="DR"/>
    <s v="D"/>
    <s v="Y"/>
    <s v="Y"/>
    <x v="48"/>
    <s v="RONGQI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14"/>
    <n v="694.93"/>
    <n v="545.19000000000005"/>
    <n v="599.77"/>
    <n v="0"/>
    <n v="0"/>
    <n v="508.14"/>
    <n v="694.93"/>
    <n v="545.19000000000005"/>
    <n v="599.77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2H"/>
    <n v="800"/>
    <s v="2018-09-29"/>
    <s v="Historical averaged cost."/>
    <n v="152.66703000000001"/>
    <n v="230.55654000000001"/>
    <n v="230.55654000000001"/>
    <n v="270.17982999999998"/>
    <n v="0"/>
    <n v="0"/>
    <n v="50.962420000000002"/>
    <n v="82.813940000000002"/>
    <n v="82.813940000000002"/>
    <n v="91.09533000000000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90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7D0H"/>
    <n v="3"/>
    <s v="DR"/>
    <s v="D"/>
    <s v="Y"/>
    <s v="Y"/>
    <x v="48"/>
    <s v="RONGQI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0.66999999999996"/>
    <n v="818.13"/>
    <n v="668.61"/>
    <n v="755.29"/>
    <n v="0"/>
    <n v="0"/>
    <n v="600.66999999999996"/>
    <n v="818.13"/>
    <n v="668.61"/>
    <n v="755.29"/>
    <n v="0"/>
    <n v="0"/>
    <s v="CNROQ"/>
    <n v="199.092248127"/>
    <n v="220.573406291"/>
    <n v="257.55399947000001"/>
    <n v="66.371379277000003"/>
    <n v="0"/>
    <n v="0"/>
    <n v="199.092248127"/>
    <n v="220.573406291"/>
    <n v="257.55399947000001"/>
    <n v="66.371379277000003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5D6H"/>
    <n v="773"/>
    <s v="2018-09-29"/>
    <s v="Historical averaged cost."/>
    <n v="152.66703000000001"/>
    <n v="230.55654000000001"/>
    <n v="230.55654000000001"/>
    <n v="270.17982999999998"/>
    <n v="0"/>
    <n v="0"/>
    <n v="50.962420000000002"/>
    <n v="82.813940000000002"/>
    <n v="82.813940000000002"/>
    <n v="91.09533000000000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990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3"/>
    <s v="E"/>
    <s v="(AX3)"/>
    <s v="40D0H"/>
    <n v="1"/>
    <s v="DR"/>
    <s v="D"/>
    <s v="Y"/>
    <s v="Y"/>
    <x v="22"/>
    <s v="SHANGHAI, SHANGHA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4.12"/>
    <n v="511.29"/>
    <n v="274.73"/>
    <n v="558.70000000000005"/>
    <n v="0"/>
    <n v="0"/>
    <n v="334.12"/>
    <n v="511.29"/>
    <n v="274.73"/>
    <n v="558.70000000000005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0.64"/>
    <n v="699.99"/>
    <n v="699.99"/>
    <n v="0"/>
    <n v="0"/>
    <n v="0"/>
    <m/>
    <m/>
    <m/>
    <m/>
    <m/>
    <m/>
    <m/>
    <m/>
    <m/>
    <m/>
    <m/>
    <m/>
    <s v="AX3"/>
    <s v="AX3"/>
    <m/>
    <m/>
    <s v="S"/>
    <s v="38D13H"/>
    <n v="897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320002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45D15H"/>
    <n v="3"/>
    <s v="DR"/>
    <s v="D"/>
    <s v="Y"/>
    <s v="Y"/>
    <x v="22"/>
    <s v="SHANGHAI, SHANGHA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6.86"/>
    <n v="740.85"/>
    <n v="503.64"/>
    <n v="797.48"/>
    <n v="0"/>
    <n v="0"/>
    <n v="496.86"/>
    <n v="740.85"/>
    <n v="503.64"/>
    <n v="797.48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0.64"/>
    <n v="699.99"/>
    <n v="699.99"/>
    <n v="0"/>
    <n v="0"/>
    <n v="0"/>
    <m/>
    <m/>
    <m/>
    <m/>
    <m/>
    <m/>
    <m/>
    <m/>
    <m/>
    <m/>
    <m/>
    <m/>
    <s v="AX2"/>
    <s v="AX1"/>
    <m/>
    <m/>
    <s v="T"/>
    <s v="44D3H"/>
    <n v="999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320004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2D15H"/>
    <n v="1"/>
    <s v="DR"/>
    <s v="D"/>
    <s v="Y"/>
    <s v="Y"/>
    <x v="22"/>
    <s v="SHANGHAI, SHANGHA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4.32"/>
    <n v="496.73"/>
    <n v="260.94"/>
    <n v="536.09"/>
    <n v="0"/>
    <n v="0"/>
    <n v="324.32"/>
    <n v="496.73"/>
    <n v="260.94"/>
    <n v="536.09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0.64"/>
    <n v="699.99"/>
    <n v="699.99"/>
    <n v="0"/>
    <n v="0"/>
    <n v="0"/>
    <m/>
    <m/>
    <m/>
    <m/>
    <m/>
    <m/>
    <m/>
    <m/>
    <m/>
    <m/>
    <m/>
    <m/>
    <s v="AX1"/>
    <s v="AX1"/>
    <m/>
    <m/>
    <s v="S"/>
    <s v="31D4H"/>
    <n v="716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320003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45D0H"/>
    <n v="3"/>
    <s v="DR"/>
    <s v="D"/>
    <s v="Y"/>
    <s v="Y"/>
    <x v="22"/>
    <s v="SHANGHAI, SHANGHA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1.82000000000005"/>
    <n v="722.38"/>
    <n v="485.28"/>
    <n v="775.55"/>
    <n v="0"/>
    <n v="0"/>
    <n v="541.82000000000005"/>
    <n v="722.38"/>
    <n v="485.28"/>
    <n v="775.55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0.64"/>
    <n v="699.99"/>
    <n v="699.99"/>
    <n v="0"/>
    <n v="0"/>
    <n v="0"/>
    <m/>
    <m/>
    <m/>
    <m/>
    <m/>
    <m/>
    <m/>
    <m/>
    <m/>
    <m/>
    <m/>
    <m/>
    <s v="AX2"/>
    <s v="AX3"/>
    <m/>
    <m/>
    <s v="T"/>
    <s v="43D12H"/>
    <n v="984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320006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1D3H"/>
    <n v="3"/>
    <s v="DR"/>
    <s v="D"/>
    <s v="Y"/>
    <s v="Y"/>
    <x v="22"/>
    <s v="SHANGHAI, SHANGHA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0.85"/>
    <n v="640.72"/>
    <n v="404.06"/>
    <n v="723.91"/>
    <n v="0"/>
    <n v="0"/>
    <n v="430.85"/>
    <n v="640.72"/>
    <n v="404.06"/>
    <n v="723.91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0.64"/>
    <n v="699.99"/>
    <n v="699.99"/>
    <n v="0"/>
    <n v="0"/>
    <n v="0"/>
    <m/>
    <m/>
    <m/>
    <m/>
    <m/>
    <m/>
    <m/>
    <m/>
    <m/>
    <m/>
    <m/>
    <m/>
    <s v="AX2"/>
    <s v="AX2"/>
    <m/>
    <m/>
    <s v="T"/>
    <s v="39D15H"/>
    <n v="891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320005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1D3H"/>
    <n v="1"/>
    <s v="DR"/>
    <s v="D"/>
    <s v="Y"/>
    <s v="Y"/>
    <x v="22"/>
    <s v="SHANGHAI, SHANGHA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8.86"/>
    <n v="496.02"/>
    <n v="259.36"/>
    <n v="574.59"/>
    <n v="0"/>
    <n v="0"/>
    <n v="328.86"/>
    <n v="496.02"/>
    <n v="259.36"/>
    <n v="574.59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0.64"/>
    <n v="699.99"/>
    <n v="699.99"/>
    <n v="0"/>
    <n v="0"/>
    <n v="0"/>
    <m/>
    <m/>
    <m/>
    <m/>
    <m/>
    <m/>
    <m/>
    <m/>
    <m/>
    <m/>
    <m/>
    <m/>
    <s v="AX2"/>
    <s v="AX2"/>
    <m/>
    <m/>
    <s v="S"/>
    <s v="39D15H"/>
    <n v="891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320001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7D11H"/>
    <n v="1"/>
    <s v="DR"/>
    <s v="D"/>
    <s v="Y"/>
    <s v="Y"/>
    <x v="23"/>
    <s v="SHANTOU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0.42"/>
    <n v="501.79"/>
    <n v="610.78"/>
    <n v="1035.9000000000001"/>
    <n v="0"/>
    <n v="0"/>
    <n v="500.42"/>
    <n v="501.79"/>
    <n v="610.78"/>
    <n v="1035.900000000000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5D18H"/>
    <n v="789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9D11H"/>
    <n v="1"/>
    <s v="DR"/>
    <s v="D"/>
    <s v="Y"/>
    <s v="Y"/>
    <x v="23"/>
    <s v="SHANTO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7.36"/>
    <n v="604.21"/>
    <n v="712.98"/>
    <n v="1150.0999999999999"/>
    <n v="0"/>
    <n v="0"/>
    <n v="567.36"/>
    <n v="604.21"/>
    <n v="712.98"/>
    <n v="1150.099999999999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17H"/>
    <n v="800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1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7D20H"/>
    <n v="1"/>
    <s v="DR"/>
    <s v="D"/>
    <s v="Y"/>
    <s v="Y"/>
    <x v="23"/>
    <s v="SHANTOU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2.79999999999995"/>
    <n v="549.66999999999996"/>
    <n v="658.54"/>
    <n v="1105.45"/>
    <n v="0"/>
    <n v="0"/>
    <n v="532.79999999999995"/>
    <n v="549.66999999999996"/>
    <n v="658.54"/>
    <n v="1105.45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6D3H"/>
    <n v="790"/>
    <s v="2018-09-29"/>
    <s v="Historical averaged cost."/>
    <n v="110.87472"/>
    <n v="166.13449"/>
    <n v="166.13449"/>
    <n v="183.10584"/>
    <n v="0"/>
    <n v="0"/>
    <n v="113.39139"/>
    <n v="219.13842"/>
    <n v="219.13842"/>
    <n v="246.53073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EC3)-HKHKG-(AX1)"/>
    <s v="45D10H"/>
    <n v="3"/>
    <s v="DR"/>
    <s v="D"/>
    <s v="Y"/>
    <s v="Y"/>
    <x v="23"/>
    <s v="SHANTOU, GUANGDONG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7.55999999999995"/>
    <n v="705.76"/>
    <n v="813.87"/>
    <n v="1310.24"/>
    <n v="0"/>
    <n v="0"/>
    <n v="637.55999999999995"/>
    <n v="705.76"/>
    <n v="813.87"/>
    <n v="1310.24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EC3"/>
    <s v="AX1"/>
    <s v="F"/>
    <m/>
    <s v="T"/>
    <s v="43D16H"/>
    <n v="960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7D15H"/>
    <n v="3"/>
    <s v="DR"/>
    <s v="D"/>
    <s v="Y"/>
    <s v="Y"/>
    <x v="23"/>
    <s v="SHANTO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1.29"/>
    <n v="729.49"/>
    <n v="838.36"/>
    <n v="1308.8599999999999"/>
    <n v="0"/>
    <n v="0"/>
    <n v="661.29"/>
    <n v="729.49"/>
    <n v="838.36"/>
    <n v="1308.859999999999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5D21H"/>
    <n v="773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1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9D17H"/>
    <n v="1"/>
    <s v="DR"/>
    <s v="D"/>
    <s v="Y"/>
    <s v="Y"/>
    <x v="23"/>
    <s v="SHANTOU, GUANGDONG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8.21"/>
    <n v="458.02"/>
    <n v="566.66999999999996"/>
    <n v="1047.1300000000001"/>
    <n v="0"/>
    <n v="0"/>
    <n v="478.21"/>
    <n v="458.02"/>
    <n v="566.66999999999996"/>
    <n v="1047.130000000000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7D24H"/>
    <n v="835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2)-KRPUS-(AX1)"/>
    <s v="44D5H"/>
    <n v="3"/>
    <s v="DR"/>
    <s v="D"/>
    <s v="Y"/>
    <s v="Y"/>
    <x v="23"/>
    <s v="SHANTOU, GUANGDONG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80999999999995"/>
    <n v="700.77"/>
    <n v="808.98"/>
    <n v="1266.79"/>
    <n v="0"/>
    <n v="0"/>
    <n v="644.80999999999995"/>
    <n v="700.77"/>
    <n v="808.98"/>
    <n v="1266.7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1"/>
    <s v="F"/>
    <m/>
    <s v="T"/>
    <s v="42D12H"/>
    <n v="943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7D15H"/>
    <n v="1"/>
    <s v="DR"/>
    <s v="D"/>
    <s v="Y"/>
    <s v="Y"/>
    <x v="23"/>
    <s v="SHANTO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29999999999995"/>
    <n v="584.79"/>
    <n v="693.66"/>
    <n v="1159.53"/>
    <n v="0"/>
    <n v="0"/>
    <n v="559.29999999999995"/>
    <n v="584.79"/>
    <n v="693.66"/>
    <n v="1159.53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5D21H"/>
    <n v="758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892001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6H"/>
    <n v="1"/>
    <s v="DR"/>
    <s v="D"/>
    <s v="Y"/>
    <s v="Y"/>
    <x v="24"/>
    <s v="SHEKO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8.52"/>
    <n v="833.04"/>
    <n v="628.37"/>
    <n v="1004.43"/>
    <n v="0"/>
    <n v="0"/>
    <n v="518.52"/>
    <n v="833.04"/>
    <n v="628.37"/>
    <n v="1004.43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2H"/>
    <n v="800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911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8H"/>
    <n v="1"/>
    <s v="DR"/>
    <s v="D"/>
    <s v="Y"/>
    <s v="Y"/>
    <x v="24"/>
    <s v="SHEKOU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5.46"/>
    <n v="560.1"/>
    <n v="355.66"/>
    <n v="713.59"/>
    <n v="0"/>
    <n v="0"/>
    <n v="345.46"/>
    <n v="560.1"/>
    <n v="355.66"/>
    <n v="713.59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m/>
    <m/>
    <s v="S"/>
    <s v="34D21H"/>
    <n v="790"/>
    <s v="2018-09-29"/>
    <s v="Historical averaged cost."/>
    <n v="103.94222000000001"/>
    <n v="155.98598999999999"/>
    <n v="155.98598999999999"/>
    <n v="172.95733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911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10H"/>
    <n v="1"/>
    <s v="DR"/>
    <s v="D"/>
    <s v="Y"/>
    <s v="Y"/>
    <x v="24"/>
    <s v="SHEKO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9.06"/>
    <n v="811.54"/>
    <n v="607.09"/>
    <n v="1010.63"/>
    <n v="0"/>
    <n v="0"/>
    <n v="509.06"/>
    <n v="811.54"/>
    <n v="607.09"/>
    <n v="1010.63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4D16H"/>
    <n v="758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911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6D10H"/>
    <n v="3"/>
    <s v="DR"/>
    <s v="D"/>
    <s v="Y"/>
    <s v="Y"/>
    <x v="24"/>
    <s v="SHEKOU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1.04999999999995"/>
    <n v="956.24"/>
    <n v="751.79"/>
    <n v="1159.95"/>
    <n v="0"/>
    <n v="0"/>
    <n v="611.04999999999995"/>
    <n v="956.24"/>
    <n v="751.79"/>
    <n v="1159.95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4D16H"/>
    <n v="773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911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GX)-KRPUS-(AX1)"/>
    <s v="49D20H"/>
    <n v="2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1.47"/>
    <n v="603.64"/>
    <n v="339.84"/>
    <n v="511.25"/>
    <n v="0"/>
    <n v="0"/>
    <n v="371.47"/>
    <n v="603.64"/>
    <n v="339.84"/>
    <n v="511.25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AGX"/>
    <s v="AX1"/>
    <m/>
    <m/>
    <s v="S"/>
    <s v="48D8H"/>
    <n v="1109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6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1"/>
    <s v="E"/>
    <s v="(KME)-KRPUS-(AX1)"/>
    <s v="43D20H"/>
    <n v="1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7"/>
    <n v="668.39"/>
    <n v="405.25"/>
    <n v="576.97"/>
    <n v="0"/>
    <n v="0"/>
    <n v="417"/>
    <n v="668.39"/>
    <n v="405.25"/>
    <n v="576.97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KME"/>
    <s v="AX1"/>
    <m/>
    <m/>
    <s v="S"/>
    <s v="42D8H"/>
    <n v="970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5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1"/>
    <s v="E"/>
    <s v="(MD2)-KRPUS-(AX1)"/>
    <s v="45D20H"/>
    <n v="1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5.87"/>
    <n v="595.32000000000005"/>
    <n v="331.96"/>
    <n v="498.33"/>
    <n v="0"/>
    <n v="0"/>
    <n v="365.87"/>
    <n v="595.32000000000005"/>
    <n v="331.96"/>
    <n v="498.33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MD2"/>
    <s v="AX1"/>
    <m/>
    <m/>
    <s v="S"/>
    <s v="44D8H"/>
    <n v="1008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3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1"/>
    <s v="E"/>
    <s v="(MD3)-KRPUS-(AX1)"/>
    <s v="47D20H"/>
    <n v="1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8.67"/>
    <n v="599.48"/>
    <n v="335.9"/>
    <n v="504.79"/>
    <n v="0"/>
    <n v="0"/>
    <n v="368.67"/>
    <n v="599.48"/>
    <n v="335.9"/>
    <n v="504.79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MD3"/>
    <s v="AX1"/>
    <m/>
    <m/>
    <s v="S"/>
    <s v="46D8H"/>
    <n v="1069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4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1"/>
    <s v="E"/>
    <s v="(CSW)-KRPUS-(AX1)"/>
    <s v="43D20H"/>
    <n v="1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3.75"/>
    <n v="661.25"/>
    <n v="398.11"/>
    <n v="564.27"/>
    <n v="0"/>
    <n v="0"/>
    <n v="413.75"/>
    <n v="661.25"/>
    <n v="398.11"/>
    <n v="564.27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CSW"/>
    <s v="AX1"/>
    <m/>
    <m/>
    <s v="S"/>
    <s v="42D8H"/>
    <n v="976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1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1"/>
    <s v="E"/>
    <s v="(SAC)-CNSHA-(AX1)"/>
    <s v="48D20H"/>
    <n v="2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7.39"/>
    <n v="546.04"/>
    <n v="282.35000000000002"/>
    <n v="470.05"/>
    <n v="0"/>
    <n v="0"/>
    <n v="327.39"/>
    <n v="546.04"/>
    <n v="282.35000000000002"/>
    <n v="470.05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SAC"/>
    <s v="AX1"/>
    <m/>
    <m/>
    <s v="S"/>
    <s v="47D8H"/>
    <n v="1087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60.985554329999999"/>
    <n v="91.477831499999994"/>
    <n v="91.477831499999994"/>
    <n v="109.03439671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8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1"/>
    <s v="E"/>
    <s v="(NX2)-KRPUS-(AX1)"/>
    <s v="38D20H"/>
    <n v="1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6.07"/>
    <n v="580.76"/>
    <n v="318.17"/>
    <n v="475.72"/>
    <n v="0"/>
    <n v="0"/>
    <n v="356.07"/>
    <n v="580.76"/>
    <n v="318.17"/>
    <n v="475.72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NX2"/>
    <s v="AX1"/>
    <m/>
    <m/>
    <s v="S"/>
    <s v="37D8H"/>
    <n v="860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2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2"/>
    <s v="E"/>
    <s v="(NX2)-KRPUS-(AX2)"/>
    <s v="48D8H"/>
    <n v="2"/>
    <s v="DR"/>
    <s v="D"/>
    <s v="Y"/>
    <s v="Y"/>
    <x v="50"/>
    <s v="SINGAPORE"/>
    <x v="32"/>
    <s v="SINGAPORE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2.69"/>
    <n v="652.23"/>
    <n v="388.65"/>
    <n v="589.84"/>
    <n v="0"/>
    <n v="0"/>
    <n v="412.69"/>
    <n v="652.23"/>
    <n v="388.65"/>
    <n v="589.84"/>
    <n v="0"/>
    <n v="0"/>
    <s v="SGSIN"/>
    <n v="10.100476344"/>
    <n v="135.89364345199999"/>
    <n v="60.018167390000002"/>
    <n v="19.707672528"/>
    <n v="0"/>
    <n v="0"/>
    <n v="10.100476344"/>
    <n v="135.89364345199999"/>
    <n v="60.018167390000002"/>
    <n v="19.70767252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51.89"/>
    <n v="808.49"/>
    <n v="808.49"/>
    <n v="0"/>
    <n v="0"/>
    <n v="0"/>
    <m/>
    <m/>
    <m/>
    <m/>
    <m/>
    <m/>
    <m/>
    <m/>
    <m/>
    <m/>
    <m/>
    <m/>
    <s v="NX2"/>
    <s v="AX2"/>
    <m/>
    <m/>
    <s v="S"/>
    <s v="46D20H"/>
    <n v="1088"/>
    <s v="2018-09-29"/>
    <s v="Historical averaged cost."/>
    <n v="136.88719"/>
    <n v="136.88719"/>
    <n v="136.88719"/>
    <n v="136.8871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110009"/>
    <s v="OPUS"/>
    <n v="122"/>
    <n v="244"/>
    <n v="244"/>
    <x v="0"/>
    <x v="0"/>
    <x v="0"/>
    <n v="60"/>
    <n v="120"/>
    <n v="120"/>
    <x v="0"/>
    <x v="0"/>
    <x v="0"/>
    <x v="10"/>
    <x v="10"/>
    <x v="10"/>
    <m/>
    <m/>
    <m/>
    <m/>
    <m/>
    <m/>
    <x v="12"/>
    <x v="12"/>
    <n v="10.97116777109756"/>
    <x v="3"/>
    <x v="3"/>
    <x v="3"/>
    <x v="19"/>
    <x v="21"/>
    <x v="21"/>
    <x v="0"/>
    <x v="0"/>
    <x v="0"/>
    <m/>
    <m/>
    <m/>
    <m/>
    <m/>
    <m/>
  </r>
  <r>
    <s v="LW"/>
    <s v="LWE"/>
    <s v="LWT"/>
    <s v="LW"/>
    <s v="AX1"/>
    <s v="E"/>
    <s v="(SGZ)-SGSIN-(NX2)-KRPUS-(AX1)"/>
    <s v="42D13H"/>
    <n v="1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7.9"/>
    <n v="746.45"/>
    <n v="542.6"/>
    <n v="4539.45"/>
    <n v="0"/>
    <n v="0"/>
    <n v="587.9"/>
    <n v="746.45"/>
    <n v="542.6"/>
    <n v="4539.45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1"/>
    <m/>
    <m/>
    <s v="S"/>
    <s v="41D1H"/>
    <n v="961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SGZ)-SGSIN-(CSW)-CNYTN-(AX1)"/>
    <s v="63D13H"/>
    <n v="3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36"/>
    <n v="636.51"/>
    <n v="437.38"/>
    <n v="4410.1899999999996"/>
    <n v="0"/>
    <n v="0"/>
    <n v="508.36"/>
    <n v="636.51"/>
    <n v="437.38"/>
    <n v="4410.1899999999996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1"/>
    <m/>
    <m/>
    <s v="T"/>
    <s v="62D1H"/>
    <n v="1465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32.56058569999999"/>
    <n v="274.72538097"/>
    <n v="274.72538097"/>
    <n v="304.86415125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9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9SC)-SGSIN-(MD3)-KRPUS-(AX1)"/>
    <s v="55D14H"/>
    <n v="3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6.85"/>
    <n v="978.77"/>
    <n v="773.48"/>
    <n v="4467.71"/>
    <n v="0"/>
    <n v="0"/>
    <n v="696.85"/>
    <n v="978.77"/>
    <n v="773.48"/>
    <n v="4467.71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9SC"/>
    <s v="AX1"/>
    <m/>
    <m/>
    <s v="T"/>
    <s v="54D2H"/>
    <n v="1259"/>
    <s v="2018-09-29"/>
    <s v="Historical averaged cost."/>
    <n v="0.2"/>
    <n v="0.2"/>
    <n v="0.2"/>
    <n v="0.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77.43721156999999"/>
    <n v="220.77128017000001"/>
    <n v="220.77128017000001"/>
    <n v="220.77128017000001"/>
    <n v="0"/>
    <n v="0"/>
    <n v="190"/>
    <n v="320"/>
    <n v="320"/>
    <n v="1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519040010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SGZ)-SGSIN-(NX2)-KRPUS-(AX2)"/>
    <s v="52D1H"/>
    <n v="2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52"/>
    <n v="817.92"/>
    <n v="613.07000000000005"/>
    <n v="4653.57"/>
    <n v="0"/>
    <n v="0"/>
    <n v="644.52"/>
    <n v="817.92"/>
    <n v="613.07000000000005"/>
    <n v="4653.57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2"/>
    <m/>
    <m/>
    <s v="S"/>
    <s v="50D13H"/>
    <n v="1189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7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2"/>
    <s v="E"/>
    <s v="(SGZ)-SGSIN-(MD3)-KRPUS-(AX2)"/>
    <s v="52D1H"/>
    <n v="2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52"/>
    <n v="817.92"/>
    <n v="613.07000000000005"/>
    <n v="4653.57"/>
    <n v="0"/>
    <n v="0"/>
    <n v="644.52"/>
    <n v="817.92"/>
    <n v="613.07000000000005"/>
    <n v="4653.57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2"/>
    <m/>
    <m/>
    <s v="S"/>
    <s v="50D13H"/>
    <n v="1189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8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SGZ)-SGSIN-(KME)-KRPUS-(AX1)"/>
    <s v="49D13H"/>
    <n v="1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1.63"/>
    <n v="838.24"/>
    <n v="633.61"/>
    <n v="4647.16"/>
    <n v="0"/>
    <n v="0"/>
    <n v="651.63"/>
    <n v="838.24"/>
    <n v="633.61"/>
    <n v="4647.16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1"/>
    <m/>
    <m/>
    <s v="S"/>
    <s v="48D1H"/>
    <n v="1129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SGZ)-SGSIN-(MD2)-KRPUS-(AX1)"/>
    <s v="49D13H"/>
    <n v="1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7.70000000000005"/>
    <n v="761.01"/>
    <n v="556.39"/>
    <n v="4562.0600000000004"/>
    <n v="0"/>
    <n v="0"/>
    <n v="597.70000000000005"/>
    <n v="761.01"/>
    <n v="556.39"/>
    <n v="4562.0600000000004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1"/>
    <m/>
    <m/>
    <s v="S"/>
    <s v="48D1H"/>
    <n v="1129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6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SGZ)-SGSIN-(MD3)-KRPUS-(AX1)"/>
    <s v="56D13H"/>
    <n v="1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7.5"/>
    <n v="775.57"/>
    <n v="570.17999999999995"/>
    <n v="4584.67"/>
    <n v="0"/>
    <n v="0"/>
    <n v="607.5"/>
    <n v="775.57"/>
    <n v="570.17999999999995"/>
    <n v="4584.67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1"/>
    <m/>
    <m/>
    <s v="S"/>
    <s v="55D1H"/>
    <n v="1297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SGZ)-SGSIN-(AGX)-KRPUS-(AX1)"/>
    <s v="56D13H"/>
    <n v="1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7.5"/>
    <n v="775.57"/>
    <n v="570.17999999999995"/>
    <n v="4584.67"/>
    <n v="0"/>
    <n v="0"/>
    <n v="607.5"/>
    <n v="775.57"/>
    <n v="570.17999999999995"/>
    <n v="4584.67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1"/>
    <m/>
    <m/>
    <s v="S"/>
    <s v="55D1H"/>
    <n v="1297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3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SGZ)-SGSIN-(CSW)-KRPUS-(AX1)"/>
    <s v="49D13H"/>
    <n v="1"/>
    <s v="DR"/>
    <s v="D"/>
    <s v="Y"/>
    <s v="Y"/>
    <x v="67"/>
    <s v="SONGKHLA"/>
    <x v="40"/>
    <s v="SONGKHLA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8.38"/>
    <n v="831.1"/>
    <n v="626.47"/>
    <n v="4634.46"/>
    <n v="0"/>
    <n v="0"/>
    <n v="648.38"/>
    <n v="831.1"/>
    <n v="626.47"/>
    <n v="4634.46"/>
    <n v="0"/>
    <n v="0"/>
    <s v="THSGZ"/>
    <n v="199.99994016100001"/>
    <n v="241.45490178099999"/>
    <n v="224.75232045199999"/>
    <n v="4018.7076725279999"/>
    <n v="0"/>
    <n v="0"/>
    <n v="199.99994016100001"/>
    <n v="241.45490178099999"/>
    <n v="224.75232045199999"/>
    <n v="4018.707672527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08.2"/>
    <n v="635.27"/>
    <n v="635.27"/>
    <n v="0"/>
    <n v="0"/>
    <n v="0"/>
    <m/>
    <m/>
    <m/>
    <m/>
    <m/>
    <m/>
    <m/>
    <m/>
    <m/>
    <m/>
    <m/>
    <m/>
    <s v="SGZ"/>
    <s v="AX1"/>
    <m/>
    <m/>
    <s v="S"/>
    <s v="48D1H"/>
    <n v="1129"/>
    <s v="2018-09-29"/>
    <s v="Historical averaged cost."/>
    <n v="24.989740000000001"/>
    <n v="40.464550000000003"/>
    <n v="40.464550000000003"/>
    <n v="40.464550000000003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04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3"/>
    <x v="3"/>
    <x v="18"/>
    <x v="20"/>
    <x v="20"/>
    <x v="0"/>
    <x v="0"/>
    <x v="0"/>
    <m/>
    <m/>
    <m/>
    <m/>
    <m/>
    <m/>
  </r>
  <r>
    <s v="LW"/>
    <s v="LWE"/>
    <s v="LWT"/>
    <s v="LW"/>
    <s v="AX1"/>
    <s v="E"/>
    <s v="(AX1)"/>
    <s v="45D3H"/>
    <n v="1"/>
    <s v="DR"/>
    <s v="D"/>
    <s v="Y"/>
    <s v="Y"/>
    <x v="25"/>
    <s v="TAICHUNG CITY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6.07000000000005"/>
    <n v="665.94"/>
    <n v="447.63"/>
    <n v="675.21"/>
    <n v="0"/>
    <n v="0"/>
    <n v="516.07000000000005"/>
    <n v="665.94"/>
    <n v="447.63"/>
    <n v="675.21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s v="T"/>
    <m/>
    <s v="S"/>
    <s v="43D9H"/>
    <n v="886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6546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52D3H"/>
    <n v="3"/>
    <s v="DR"/>
    <s v="D"/>
    <s v="Y"/>
    <s v="Y"/>
    <x v="25"/>
    <s v="TAICHUNG CITY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9.54"/>
    <n v="827.5"/>
    <n v="608.41999999999996"/>
    <n v="844.82"/>
    <n v="0"/>
    <n v="0"/>
    <n v="629.54"/>
    <n v="827.5"/>
    <n v="608.41999999999996"/>
    <n v="844.82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s v="T"/>
    <m/>
    <s v="T"/>
    <s v="50D9H"/>
    <n v="1054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6546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68"/>
    <s v="TAI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5.1"/>
    <n v="667.43"/>
    <n v="758.73"/>
    <n v="770.78"/>
    <n v="0"/>
    <n v="0"/>
    <n v="625.1"/>
    <n v="667.43"/>
    <n v="758.73"/>
    <n v="770.78"/>
    <n v="0"/>
    <n v="0"/>
    <s v="CNTZO"/>
    <n v="245.74475320900001"/>
    <n v="58.176731857"/>
    <n v="336.96345893099999"/>
    <n v="31.607571027999999"/>
    <n v="0"/>
    <n v="0"/>
    <n v="245.74475320900001"/>
    <n v="58.176731857"/>
    <n v="336.96345893099999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4D13H"/>
    <n v="89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31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8D21H"/>
    <n v="1"/>
    <s v="DR"/>
    <s v="D"/>
    <s v="Y"/>
    <s v="Y"/>
    <x v="68"/>
    <s v="TAI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5.29999999999995"/>
    <n v="652.87"/>
    <n v="744.94"/>
    <n v="748.17"/>
    <n v="0"/>
    <n v="0"/>
    <n v="615.29999999999995"/>
    <n v="652.87"/>
    <n v="744.94"/>
    <n v="748.17"/>
    <n v="0"/>
    <n v="0"/>
    <s v="CNTZO"/>
    <n v="245.74475320900001"/>
    <n v="58.176731857"/>
    <n v="336.96345893099999"/>
    <n v="31.607571027999999"/>
    <n v="0"/>
    <n v="0"/>
    <n v="245.74475320900001"/>
    <n v="58.176731857"/>
    <n v="336.96345893099999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7D4H"/>
    <n v="716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31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1D21H"/>
    <n v="3"/>
    <s v="DR"/>
    <s v="D"/>
    <s v="Y"/>
    <s v="Y"/>
    <x v="68"/>
    <s v="TAI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7.84"/>
    <n v="897"/>
    <n v="987.64"/>
    <n v="1009.55"/>
    <n v="0"/>
    <n v="0"/>
    <n v="787.84"/>
    <n v="897"/>
    <n v="987.64"/>
    <n v="1009.55"/>
    <n v="0"/>
    <n v="0"/>
    <s v="CNTZO"/>
    <n v="245.74475320900001"/>
    <n v="58.176731857"/>
    <n v="336.96345893099999"/>
    <n v="31.607571027999999"/>
    <n v="0"/>
    <n v="0"/>
    <n v="245.74475320900001"/>
    <n v="58.176731857"/>
    <n v="336.96345893099999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0D3H"/>
    <n v="999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31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1D6H"/>
    <n v="3"/>
    <s v="DR"/>
    <s v="D"/>
    <s v="Y"/>
    <s v="Y"/>
    <x v="68"/>
    <s v="TAI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2.8"/>
    <n v="878.53"/>
    <n v="969.28"/>
    <n v="987.62"/>
    <n v="0"/>
    <n v="0"/>
    <n v="832.8"/>
    <n v="878.53"/>
    <n v="969.28"/>
    <n v="987.62"/>
    <n v="0"/>
    <n v="0"/>
    <s v="CNTZO"/>
    <n v="245.74475320900001"/>
    <n v="58.176731857"/>
    <n v="336.96345893099999"/>
    <n v="31.607571027999999"/>
    <n v="0"/>
    <n v="0"/>
    <n v="245.74475320900001"/>
    <n v="58.176731857"/>
    <n v="336.96345893099999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49D12H"/>
    <n v="984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31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7D9H"/>
    <n v="3"/>
    <s v="DR"/>
    <s v="D"/>
    <s v="Y"/>
    <s v="Y"/>
    <x v="68"/>
    <s v="TAI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1.83"/>
    <n v="796.87"/>
    <n v="888.06"/>
    <n v="935.99"/>
    <n v="0"/>
    <n v="0"/>
    <n v="721.83"/>
    <n v="796.87"/>
    <n v="888.06"/>
    <n v="935.99"/>
    <n v="0"/>
    <n v="0"/>
    <s v="CNTZO"/>
    <n v="245.74475320900001"/>
    <n v="58.176731857"/>
    <n v="336.96345893099999"/>
    <n v="31.607571027999999"/>
    <n v="0"/>
    <n v="0"/>
    <n v="245.74475320900001"/>
    <n v="58.176731857"/>
    <n v="336.96345893099999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31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7D9H"/>
    <n v="1"/>
    <s v="DR"/>
    <s v="D"/>
    <s v="Y"/>
    <s v="Y"/>
    <x v="68"/>
    <s v="TAIZHOU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9.84"/>
    <n v="652.16999999999996"/>
    <n v="743.36"/>
    <n v="786.66"/>
    <n v="0"/>
    <n v="0"/>
    <n v="619.84"/>
    <n v="652.16999999999996"/>
    <n v="743.36"/>
    <n v="786.66"/>
    <n v="0"/>
    <n v="0"/>
    <s v="CNTZO"/>
    <n v="245.74475320900001"/>
    <n v="58.176731857"/>
    <n v="336.96345893099999"/>
    <n v="31.607571027999999"/>
    <n v="0"/>
    <n v="0"/>
    <n v="245.74475320900001"/>
    <n v="58.176731857"/>
    <n v="336.96345893099999"/>
    <n v="31.6075710279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31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52D21H"/>
    <n v="3"/>
    <s v="DR"/>
    <s v="D"/>
    <s v="Y"/>
    <s v="Y"/>
    <x v="26"/>
    <s v="TAOYUAN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0.39"/>
    <n v="801.79"/>
    <n v="566.4"/>
    <n v="817.46"/>
    <n v="0"/>
    <n v="0"/>
    <n v="580.39"/>
    <n v="801.79"/>
    <n v="566.4"/>
    <n v="817.46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s v="T"/>
    <m/>
    <s v="T"/>
    <s v="51D3H"/>
    <n v="1054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522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45D21H"/>
    <n v="1"/>
    <s v="DR"/>
    <s v="D"/>
    <s v="Y"/>
    <s v="Y"/>
    <x v="26"/>
    <s v="TAOYUAN"/>
    <x v="14"/>
    <s v="KEELU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6.92"/>
    <n v="640.23"/>
    <n v="405.61"/>
    <n v="647.85"/>
    <n v="0"/>
    <n v="0"/>
    <n v="466.92"/>
    <n v="640.23"/>
    <n v="405.61"/>
    <n v="647.85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515.45000000000005"/>
    <n v="743.1"/>
    <n v="771.63"/>
    <n v="0"/>
    <n v="0"/>
    <n v="0"/>
    <m/>
    <m/>
    <m/>
    <m/>
    <m/>
    <m/>
    <m/>
    <m/>
    <m/>
    <m/>
    <m/>
    <m/>
    <s v="AX1"/>
    <s v="AX1"/>
    <s v="T"/>
    <m/>
    <s v="S"/>
    <s v="44D3H"/>
    <n v="886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522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3"/>
    <x v="3"/>
    <x v="8"/>
    <x v="8"/>
    <x v="8"/>
    <x v="0"/>
    <x v="0"/>
    <x v="0"/>
    <m/>
    <m/>
    <m/>
    <m/>
    <m/>
    <m/>
  </r>
  <r>
    <s v="LW"/>
    <s v="LWE"/>
    <s v="LWT"/>
    <s v="LW"/>
    <s v="AX2"/>
    <s v="E"/>
    <s v="(TUT)-LKCMB-(FE5)-SGSIN-(AGX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2.66999999999996"/>
    <n v="728.01"/>
    <n v="820.96"/>
    <n v="4727.41"/>
    <n v="0"/>
    <n v="0"/>
    <n v="552.66999999999996"/>
    <n v="728.01"/>
    <n v="820.96"/>
    <n v="4727.4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FE5)-SGSIN-(ACE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54"/>
    <n v="772.75"/>
    <n v="865.7"/>
    <n v="4777.91"/>
    <n v="0"/>
    <n v="0"/>
    <n v="592.54"/>
    <n v="772.75"/>
    <n v="865.7"/>
    <n v="4777.9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56.98735513999998"/>
    <n v="592.29327708999995"/>
    <n v="592.29327708999995"/>
    <n v="626.3719316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MD3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MD2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MD1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CSW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5.35"/>
    <n v="698.96"/>
    <n v="791.91"/>
    <n v="4668.3599999999997"/>
    <n v="0"/>
    <n v="0"/>
    <n v="535.35"/>
    <n v="698.96"/>
    <n v="791.91"/>
    <n v="4668.3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MD2)-KRPUS-(AX2)"/>
    <s v="69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53"/>
    <n v="721.76"/>
    <n v="814.71"/>
    <n v="4721.16"/>
    <n v="0"/>
    <n v="0"/>
    <n v="548.53"/>
    <n v="721.76"/>
    <n v="814.71"/>
    <n v="472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8D8H"/>
    <n v="15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MD3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53"/>
    <n v="721.76"/>
    <n v="814.71"/>
    <n v="4721.16"/>
    <n v="0"/>
    <n v="0"/>
    <n v="548.53"/>
    <n v="721.76"/>
    <n v="814.71"/>
    <n v="472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ACE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57000000000005"/>
    <n v="726.36"/>
    <n v="819.31"/>
    <n v="4731.5200000000004"/>
    <n v="0"/>
    <n v="0"/>
    <n v="568.57000000000005"/>
    <n v="726.36"/>
    <n v="819.31"/>
    <n v="4731.52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33.01135513999998"/>
    <n v="545.89927709000006"/>
    <n v="545.89927709000006"/>
    <n v="579.9779316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AGX)-KRPUS-(AX2)"/>
    <s v="76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75D8H"/>
    <n v="168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AR1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MD1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MD2)-KRPUS-(AX2)"/>
    <s v="69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8D8H"/>
    <n v="15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MD3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SW2)-CNSHA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1.2"/>
    <n v="550.07000000000005"/>
    <n v="643.71"/>
    <n v="4486.8599999999997"/>
    <n v="0"/>
    <n v="0"/>
    <n v="381.2"/>
    <n v="550.07000000000005"/>
    <n v="643.71"/>
    <n v="4486.8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245.64460144"/>
    <n v="369.60940213999999"/>
    <n v="370.29940213999998"/>
    <n v="335.315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ACE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57000000000005"/>
    <n v="726.36"/>
    <n v="819.31"/>
    <n v="4731.5200000000004"/>
    <n v="0"/>
    <n v="0"/>
    <n v="568.57000000000005"/>
    <n v="726.36"/>
    <n v="819.31"/>
    <n v="4731.52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33.01135513999998"/>
    <n v="545.89927709000006"/>
    <n v="545.89927709000006"/>
    <n v="579.97793163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AR1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AGX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ACE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7.70000000000005"/>
    <n v="747.14"/>
    <n v="840.1"/>
    <n v="4720"/>
    <n v="0"/>
    <n v="0"/>
    <n v="577.70000000000005"/>
    <n v="747.14"/>
    <n v="840.1"/>
    <n v="4720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35.49004814"/>
    <n v="549.34417039000004"/>
    <n v="549.34417039000004"/>
    <n v="581.110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3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2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1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CSW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5.35"/>
    <n v="698.96"/>
    <n v="791.91"/>
    <n v="4668.3599999999997"/>
    <n v="0"/>
    <n v="0"/>
    <n v="535.35"/>
    <n v="698.96"/>
    <n v="791.91"/>
    <n v="4668.3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AR1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AGX)-KRPUS-(AX1)"/>
    <s v="74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72D20H"/>
    <n v="162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ACE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7.70000000000005"/>
    <n v="747.14"/>
    <n v="840.1"/>
    <n v="4720"/>
    <n v="0"/>
    <n v="0"/>
    <n v="577.70000000000005"/>
    <n v="747.14"/>
    <n v="840.1"/>
    <n v="4720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35.49004814"/>
    <n v="549.34417039000004"/>
    <n v="549.34417039000004"/>
    <n v="581.110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CSW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6.17"/>
    <n v="649.37"/>
    <n v="742.33"/>
    <n v="4651.08"/>
    <n v="0"/>
    <n v="0"/>
    <n v="496.17"/>
    <n v="649.37"/>
    <n v="742.33"/>
    <n v="4651.0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60.61232314"/>
    <n v="468.91799114000003"/>
    <n v="468.91799114000003"/>
    <n v="499.54198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AGX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AR1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CSW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6.34"/>
    <n v="609.23"/>
    <n v="702.19"/>
    <n v="4610.9399999999996"/>
    <n v="0"/>
    <n v="0"/>
    <n v="476.34"/>
    <n v="609.23"/>
    <n v="702.19"/>
    <n v="4610.93999999999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40.78032314000001"/>
    <n v="428.77599113999997"/>
    <n v="428.77599113999997"/>
    <n v="459.39998714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MD1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MD2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TIP)-SGSIN-(MD3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8.69000000000005"/>
    <n v="681.62"/>
    <n v="774.57"/>
    <n v="4681.01"/>
    <n v="0"/>
    <n v="0"/>
    <n v="528.69000000000005"/>
    <n v="681.62"/>
    <n v="774.57"/>
    <n v="4681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FE5)-SGSIN-(ACE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1.67999999999995"/>
    <n v="793.54"/>
    <n v="886.49"/>
    <n v="4766.3900000000003"/>
    <n v="0"/>
    <n v="0"/>
    <n v="601.67999999999995"/>
    <n v="793.54"/>
    <n v="886.49"/>
    <n v="4766.39000000000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59.46604814"/>
    <n v="595.73817039000005"/>
    <n v="595.73817039000005"/>
    <n v="627.504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8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FE5)-SGSIN-(AGX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8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FE5)-SGSIN-(AR1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8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FE5)-SGSIN-(CSW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33000000000004"/>
    <n v="745.35"/>
    <n v="838.31"/>
    <n v="4714.75"/>
    <n v="0"/>
    <n v="0"/>
    <n v="559.33000000000004"/>
    <n v="745.35"/>
    <n v="838.31"/>
    <n v="4714.75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FE5)-SGSIN-(MD1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FE5)-SGSIN-(MD2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FE5)-SGSIN-(MD3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ACE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7.54"/>
    <n v="787.29"/>
    <n v="880.24"/>
    <n v="4760.1400000000003"/>
    <n v="0"/>
    <n v="0"/>
    <n v="597.54"/>
    <n v="787.29"/>
    <n v="880.24"/>
    <n v="4760.14000000000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55.32204813999999"/>
    <n v="589.48617038999998"/>
    <n v="589.48617038999998"/>
    <n v="621.2528269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3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2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1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CSW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5.17999999999995"/>
    <n v="739.1"/>
    <n v="832.06"/>
    <n v="4708.5"/>
    <n v="0"/>
    <n v="0"/>
    <n v="555.17999999999995"/>
    <n v="739.1"/>
    <n v="832.06"/>
    <n v="4708.5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AR1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AGX)-KRPUS-(AX1)"/>
    <s v="74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72D20H"/>
    <n v="162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ACE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7.54"/>
    <n v="787.29"/>
    <n v="880.24"/>
    <n v="4760.1400000000003"/>
    <n v="0"/>
    <n v="0"/>
    <n v="597.54"/>
    <n v="787.29"/>
    <n v="880.24"/>
    <n v="4760.14000000000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55.32204813999999"/>
    <n v="589.48617038999998"/>
    <n v="589.48617038999998"/>
    <n v="621.2528269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3)-KRPUS-(AX1)"/>
    <s v="67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65D20H"/>
    <n v="145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2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1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CSW)-KRPUS-(AX1)"/>
    <s v="60D8H"/>
    <n v="1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33000000000004"/>
    <n v="745.35"/>
    <n v="838.31"/>
    <n v="4714.75"/>
    <n v="0"/>
    <n v="0"/>
    <n v="559.33000000000004"/>
    <n v="745.35"/>
    <n v="838.31"/>
    <n v="4714.75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AR1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AGX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65"/>
    <n v="675.27"/>
    <n v="768.22"/>
    <n v="4642.3500000000004"/>
    <n v="0"/>
    <n v="0"/>
    <n v="508.65"/>
    <n v="675.27"/>
    <n v="768.22"/>
    <n v="4642.35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3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ACE)-KRPUS-(AX1)"/>
    <s v="60D8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1.67999999999995"/>
    <n v="793.54"/>
    <n v="886.49"/>
    <n v="4766.3900000000003"/>
    <n v="0"/>
    <n v="0"/>
    <n v="601.67999999999995"/>
    <n v="793.54"/>
    <n v="886.49"/>
    <n v="4766.390000000000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58D20H"/>
    <n v="12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59.46604814"/>
    <n v="595.73817039000005"/>
    <n v="595.73817039000005"/>
    <n v="627.504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4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AGX)-KRPUS-(AX3)"/>
    <s v="80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79D5H"/>
    <n v="1773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8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AR1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8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CSW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5.17999999999995"/>
    <n v="739.1"/>
    <n v="832.06"/>
    <n v="4708.5"/>
    <n v="0"/>
    <n v="0"/>
    <n v="555.17999999999995"/>
    <n v="739.1"/>
    <n v="832.06"/>
    <n v="4708.5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MD1)-KRPUS-(AX3)"/>
    <s v="73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72D5H"/>
    <n v="160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MD2)-KRPUS-(AX3)"/>
    <s v="73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72D5H"/>
    <n v="160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NCI)-SGSIN-(MD3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5"/>
    <n v="669.02"/>
    <n v="761.97"/>
    <n v="4636.1000000000004"/>
    <n v="0"/>
    <n v="0"/>
    <n v="504.5"/>
    <n v="669.02"/>
    <n v="761.97"/>
    <n v="4636.1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MX)-CNSHA-(AX1)"/>
    <s v="74D8H"/>
    <n v="1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7.3"/>
    <n v="567.58000000000004"/>
    <n v="661.22"/>
    <n v="4474.37"/>
    <n v="0"/>
    <n v="0"/>
    <n v="387.3"/>
    <n v="567.58000000000004"/>
    <n v="661.22"/>
    <n v="4474.3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1"/>
    <m/>
    <m/>
    <s v="S"/>
    <s v="72D20H"/>
    <n v="162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45.08560144"/>
    <n v="369.77540213999998"/>
    <n v="370.46540213999998"/>
    <n v="335.481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MD1)-KRPUS-(AX2)"/>
    <s v="69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53"/>
    <n v="721.76"/>
    <n v="814.71"/>
    <n v="4721.16"/>
    <n v="0"/>
    <n v="0"/>
    <n v="548.53"/>
    <n v="721.76"/>
    <n v="814.71"/>
    <n v="472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8D8H"/>
    <n v="1512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AR1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53"/>
    <n v="721.76"/>
    <n v="814.71"/>
    <n v="4721.16"/>
    <n v="0"/>
    <n v="0"/>
    <n v="548.53"/>
    <n v="721.76"/>
    <n v="814.71"/>
    <n v="472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AGX)-KRPUS-(AX2)"/>
    <s v="76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53"/>
    <n v="721.76"/>
    <n v="814.71"/>
    <n v="4721.16"/>
    <n v="0"/>
    <n v="0"/>
    <n v="548.53"/>
    <n v="721.76"/>
    <n v="814.71"/>
    <n v="472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75D8H"/>
    <n v="1680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NCI)-SGSIN-(ACE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8.4"/>
    <n v="766.5"/>
    <n v="859.45"/>
    <n v="4771.66"/>
    <n v="0"/>
    <n v="0"/>
    <n v="588.4"/>
    <n v="766.5"/>
    <n v="859.45"/>
    <n v="4771.6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52.84335514000003"/>
    <n v="586.04127708999999"/>
    <n v="586.04127708999999"/>
    <n v="620.11993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FE5)-SGSIN-(MD3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2.66999999999996"/>
    <n v="728.01"/>
    <n v="820.96"/>
    <n v="4727.41"/>
    <n v="0"/>
    <n v="0"/>
    <n v="552.66999999999996"/>
    <n v="728.01"/>
    <n v="820.96"/>
    <n v="4727.4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FE5)-SGSIN-(MD2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2.66999999999996"/>
    <n v="728.01"/>
    <n v="820.96"/>
    <n v="4727.41"/>
    <n v="0"/>
    <n v="0"/>
    <n v="552.66999999999996"/>
    <n v="728.01"/>
    <n v="820.96"/>
    <n v="4727.4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FE5)-SGSIN-(MD1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2.66999999999996"/>
    <n v="728.01"/>
    <n v="820.96"/>
    <n v="4727.41"/>
    <n v="0"/>
    <n v="0"/>
    <n v="552.66999999999996"/>
    <n v="728.01"/>
    <n v="820.96"/>
    <n v="4727.4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FE5)-SGSIN-(CSW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0.31"/>
    <n v="655.63"/>
    <n v="748.58"/>
    <n v="4657.34"/>
    <n v="0"/>
    <n v="0"/>
    <n v="500.31"/>
    <n v="655.63"/>
    <n v="748.58"/>
    <n v="4657.3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64.75632314000001"/>
    <n v="475.16999113999998"/>
    <n v="475.16999113999998"/>
    <n v="505.79398714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FE5)-SGSIN-(AR1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2.66999999999996"/>
    <n v="728.01"/>
    <n v="820.96"/>
    <n v="4727.41"/>
    <n v="0"/>
    <n v="0"/>
    <n v="552.66999999999996"/>
    <n v="728.01"/>
    <n v="820.96"/>
    <n v="4727.4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5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ACE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7.70000000000005"/>
    <n v="747.14"/>
    <n v="840.1"/>
    <n v="4720"/>
    <n v="0"/>
    <n v="0"/>
    <n v="577.70000000000005"/>
    <n v="747.14"/>
    <n v="840.1"/>
    <n v="4720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35.49004814"/>
    <n v="549.34417039000004"/>
    <n v="549.34417039000004"/>
    <n v="581.110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AGX)-KRPUS-(AX3)"/>
    <s v="80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79D5H"/>
    <n v="1773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8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AR1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CSW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5.35"/>
    <n v="698.96"/>
    <n v="791.91"/>
    <n v="4668.3599999999997"/>
    <n v="0"/>
    <n v="0"/>
    <n v="535.35"/>
    <n v="698.96"/>
    <n v="791.91"/>
    <n v="4668.3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MD1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MD2)-KRPUS-(AX3)"/>
    <s v="73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72D5H"/>
    <n v="160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6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PS3)-SGSIN-(MD3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ACE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7.70000000000005"/>
    <n v="747.14"/>
    <n v="840.1"/>
    <n v="4720"/>
    <n v="0"/>
    <n v="0"/>
    <n v="577.70000000000005"/>
    <n v="747.14"/>
    <n v="840.1"/>
    <n v="4720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435.49004814"/>
    <n v="549.34417039000004"/>
    <n v="549.34417039000004"/>
    <n v="581.110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AGX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AR1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CSW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5.35"/>
    <n v="698.96"/>
    <n v="791.91"/>
    <n v="4668.3599999999997"/>
    <n v="0"/>
    <n v="0"/>
    <n v="535.35"/>
    <n v="698.96"/>
    <n v="791.91"/>
    <n v="4668.3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8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MD1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MD2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TUT)-LKCMB-(TIP)-SGSIN-(MD3)-KRPUS-(AX3)"/>
    <s v="66D17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67"/>
    <n v="628.87"/>
    <n v="721.83"/>
    <n v="4595.96"/>
    <n v="0"/>
    <n v="0"/>
    <n v="484.67"/>
    <n v="628.87"/>
    <n v="721.83"/>
    <n v="4595.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3"/>
    <m/>
    <m/>
    <s v="S"/>
    <s v="65D5H"/>
    <n v="143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7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2"/>
    <s v="E"/>
    <s v="(TUT)-LKCMB-(PS3)-SGSIN-(CSW)-KRPUS-(AX2)"/>
    <s v="62D20H"/>
    <n v="2"/>
    <s v="DR"/>
    <s v="D"/>
    <s v="Y"/>
    <s v="Y"/>
    <x v="52"/>
    <s v="TUTICORIN"/>
    <x v="33"/>
    <s v="TUTICOR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6.34"/>
    <n v="609.23"/>
    <n v="702.19"/>
    <n v="4610.9399999999996"/>
    <n v="0"/>
    <n v="0"/>
    <n v="476.34"/>
    <n v="609.23"/>
    <n v="702.19"/>
    <n v="4610.93999999999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384.18"/>
    <n v="585.04"/>
    <n v="585.04"/>
    <n v="0"/>
    <n v="0"/>
    <n v="0"/>
    <m/>
    <m/>
    <m/>
    <m/>
    <m/>
    <m/>
    <m/>
    <m/>
    <m/>
    <m/>
    <m/>
    <m/>
    <s v="TUT"/>
    <s v="AX2"/>
    <m/>
    <m/>
    <s v="S"/>
    <s v="61D8H"/>
    <n v="134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340.78032314000001"/>
    <n v="428.77599113999997"/>
    <n v="428.77599113999997"/>
    <n v="459.39998714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0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3"/>
    <x v="3"/>
    <x v="20"/>
    <x v="22"/>
    <x v="22"/>
    <x v="0"/>
    <x v="0"/>
    <x v="0"/>
    <m/>
    <m/>
    <m/>
    <m/>
    <m/>
    <m/>
  </r>
  <r>
    <s v="LW"/>
    <s v="LWE"/>
    <s v="LWT"/>
    <s v="LW"/>
    <s v="AX3"/>
    <s v="E"/>
    <s v="(AX3)"/>
    <s v="47D6H"/>
    <n v="1"/>
    <s v="DR"/>
    <s v="D"/>
    <s v="Y"/>
    <s v="Y"/>
    <x v="27"/>
    <s v="WUHAN, HUBE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66"/>
    <n v="1136.3399999999999"/>
    <n v="978.54"/>
    <n v="1400.08"/>
    <n v="0"/>
    <n v="0"/>
    <n v="744.66"/>
    <n v="1136.3399999999999"/>
    <n v="978.54"/>
    <n v="1400.08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5D13H"/>
    <n v="897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38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9D21H"/>
    <n v="1"/>
    <s v="DR"/>
    <s v="D"/>
    <s v="Y"/>
    <s v="Y"/>
    <x v="27"/>
    <s v="WUHAN, HUBE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4.86"/>
    <n v="1121.78"/>
    <n v="964.75"/>
    <n v="1377.47"/>
    <n v="0"/>
    <n v="0"/>
    <n v="734.86"/>
    <n v="1121.78"/>
    <n v="964.75"/>
    <n v="1377.47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8D4H"/>
    <n v="716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38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8D9H"/>
    <n v="3"/>
    <s v="DR"/>
    <s v="D"/>
    <s v="Y"/>
    <s v="Y"/>
    <x v="27"/>
    <s v="WUHAN, HUBE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1.39"/>
    <n v="1265.78"/>
    <n v="1107.8699999999999"/>
    <n v="1565.29"/>
    <n v="0"/>
    <n v="0"/>
    <n v="841.39"/>
    <n v="1265.78"/>
    <n v="1107.8699999999999"/>
    <n v="1565.29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6D15H"/>
    <n v="891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38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2D21H"/>
    <n v="3"/>
    <s v="DR"/>
    <s v="D"/>
    <s v="Y"/>
    <s v="Y"/>
    <x v="27"/>
    <s v="WUHAN, HUBE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7.4"/>
    <n v="1365.9"/>
    <n v="1207.44"/>
    <n v="1638.86"/>
    <n v="0"/>
    <n v="0"/>
    <n v="907.4"/>
    <n v="1365.9"/>
    <n v="1207.44"/>
    <n v="1638.86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1D3H"/>
    <n v="999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38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2D6H"/>
    <n v="3"/>
    <s v="DR"/>
    <s v="D"/>
    <s v="Y"/>
    <s v="Y"/>
    <x v="27"/>
    <s v="WUHAN, HUBE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2.36"/>
    <n v="1347.43"/>
    <n v="1189.0899999999999"/>
    <n v="1616.93"/>
    <n v="0"/>
    <n v="0"/>
    <n v="952.36"/>
    <n v="1347.43"/>
    <n v="1189.0899999999999"/>
    <n v="1616.93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50D12H"/>
    <n v="984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38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8D9H"/>
    <n v="1"/>
    <s v="DR"/>
    <s v="D"/>
    <s v="Y"/>
    <s v="Y"/>
    <x v="27"/>
    <s v="WUHAN, HUBEI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9.4"/>
    <n v="1121.07"/>
    <n v="963.16"/>
    <n v="1415.97"/>
    <n v="0"/>
    <n v="0"/>
    <n v="739.4"/>
    <n v="1121.07"/>
    <n v="963.16"/>
    <n v="1415.97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6D15H"/>
    <n v="891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638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EC3)-HKHKG-(AX1)"/>
    <s v="43D20H"/>
    <n v="3"/>
    <s v="DR"/>
    <s v="D"/>
    <s v="Y"/>
    <s v="Y"/>
    <x v="28"/>
    <s v="XIAMEN, FUJIAN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2.63"/>
    <n v="708.34"/>
    <n v="474.68"/>
    <n v="926.95"/>
    <n v="0"/>
    <n v="0"/>
    <n v="472.63"/>
    <n v="708.34"/>
    <n v="474.68"/>
    <n v="926.95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EC3"/>
    <s v="AX1"/>
    <m/>
    <m/>
    <s v="T"/>
    <s v="42D8H"/>
    <n v="960"/>
    <s v="2018-09-29"/>
    <s v="Historical averaged cost."/>
    <n v="74.504000000000005"/>
    <n v="111.32866"/>
    <n v="111.32866"/>
    <n v="138.17556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3472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2"/>
    <s v="E"/>
    <s v="(AX2)"/>
    <s v="38D3H"/>
    <n v="1"/>
    <s v="DR"/>
    <s v="D"/>
    <s v="Y"/>
    <s v="Y"/>
    <x v="28"/>
    <s v="XIAMEN, FUJIAN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11.88"/>
    <n v="458.51"/>
    <n v="225.52"/>
    <n v="660.61"/>
    <n v="0"/>
    <n v="0"/>
    <n v="311.88"/>
    <n v="458.51"/>
    <n v="225.52"/>
    <n v="660.61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AX2"/>
    <s v="AX2"/>
    <m/>
    <m/>
    <s v="S"/>
    <s v="36D16H"/>
    <n v="835"/>
    <s v="2018-09-29"/>
    <s v="Historical averaged cost."/>
    <n v="74.504000000000005"/>
    <n v="111.32866"/>
    <n v="111.32866"/>
    <n v="138.17556999999999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3472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1"/>
    <s v="E"/>
    <s v="(AX2)-KRPUS-(AX1)"/>
    <s v="42D15H"/>
    <n v="3"/>
    <s v="DR"/>
    <s v="D"/>
    <s v="Y"/>
    <s v="Y"/>
    <x v="28"/>
    <s v="XIAMEN, FUJIAN"/>
    <x v="11"/>
    <s v="XIAMEN, FUJIA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9.88"/>
    <n v="703.34"/>
    <n v="469.8"/>
    <n v="883.5"/>
    <n v="0"/>
    <n v="0"/>
    <n v="479.88"/>
    <n v="703.34"/>
    <n v="469.8"/>
    <n v="883.5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0.06"/>
    <n v="655.22"/>
    <n v="655.22"/>
    <n v="0"/>
    <n v="0"/>
    <n v="0"/>
    <m/>
    <m/>
    <m/>
    <m/>
    <m/>
    <m/>
    <m/>
    <m/>
    <m/>
    <m/>
    <m/>
    <m/>
    <s v="AX2"/>
    <s v="AX1"/>
    <m/>
    <m/>
    <s v="T"/>
    <s v="41D4H"/>
    <n v="943"/>
    <s v="2018-09-29"/>
    <s v="Historical averaged cost."/>
    <n v="74.504000000000005"/>
    <n v="111.32866"/>
    <n v="111.32866"/>
    <n v="138.17556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3472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4"/>
    <x v="4"/>
    <x v="4"/>
    <x v="0"/>
    <x v="0"/>
    <x v="0"/>
    <m/>
    <m/>
    <m/>
    <m/>
    <m/>
    <m/>
  </r>
  <r>
    <s v="LW"/>
    <s v="LWE"/>
    <s v="LWT"/>
    <s v="LW"/>
    <s v="AX2"/>
    <s v="E"/>
    <s v="(AX2)"/>
    <s v="38D7H"/>
    <n v="1"/>
    <s v="DR"/>
    <s v="D"/>
    <s v="Y"/>
    <s v="Y"/>
    <x v="29"/>
    <s v="XIAOLAN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4"/>
    <n v="350.2"/>
    <n v="522.1"/>
    <n v="626.55999999999995"/>
    <n v="0"/>
    <n v="0"/>
    <n v="519.4"/>
    <n v="350.2"/>
    <n v="522.1"/>
    <n v="626.5599999999999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6D14H"/>
    <n v="790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8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6D18H"/>
    <n v="3"/>
    <s v="DR"/>
    <s v="D"/>
    <s v="Y"/>
    <s v="Y"/>
    <x v="29"/>
    <s v="XIAOL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8.47"/>
    <n v="497.37"/>
    <n v="669.37"/>
    <n v="793.48"/>
    <n v="0"/>
    <n v="0"/>
    <n v="618.47"/>
    <n v="497.37"/>
    <n v="669.37"/>
    <n v="793.48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5D0H"/>
    <n v="773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82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18H"/>
    <n v="1"/>
    <s v="DR"/>
    <s v="D"/>
    <s v="Y"/>
    <s v="Y"/>
    <x v="29"/>
    <s v="XIAOL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6.48"/>
    <n v="352.66"/>
    <n v="524.66999999999996"/>
    <n v="644.15"/>
    <n v="0"/>
    <n v="0"/>
    <n v="516.48"/>
    <n v="352.66"/>
    <n v="524.66999999999996"/>
    <n v="644.1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5D0H"/>
    <n v="758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82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14H"/>
    <n v="1"/>
    <s v="DR"/>
    <s v="D"/>
    <s v="Y"/>
    <s v="Y"/>
    <x v="29"/>
    <s v="XIAOL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5.94000000000005"/>
    <n v="374.17"/>
    <n v="545.95000000000005"/>
    <n v="637.95000000000005"/>
    <n v="0"/>
    <n v="0"/>
    <n v="525.94000000000005"/>
    <n v="374.17"/>
    <n v="545.95000000000005"/>
    <n v="637.9500000000000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20H"/>
    <n v="799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82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0D5H"/>
    <n v="1"/>
    <s v="DR"/>
    <s v="D"/>
    <s v="Y"/>
    <s v="Y"/>
    <x v="29"/>
    <s v="XIAOLAN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9.45000000000005"/>
    <n v="331.5"/>
    <n v="503.17"/>
    <n v="589.5"/>
    <n v="0"/>
    <n v="0"/>
    <n v="529.45000000000005"/>
    <n v="331.5"/>
    <n v="503.17"/>
    <n v="589.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8D12H"/>
    <n v="777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982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BHX)-KRPUS-(AX1)"/>
    <s v="34D15H"/>
    <n v="1"/>
    <s v="DR"/>
    <s v="D"/>
    <s v="Y"/>
    <s v="Y"/>
    <x v="30"/>
    <s v="XINGANG, TIANJIN"/>
    <x v="19"/>
    <s v="XINGANG, TIANJ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9.97"/>
    <n v="584.08000000000004"/>
    <n v="356.18"/>
    <n v="581.23"/>
    <n v="0"/>
    <n v="0"/>
    <n v="379.97"/>
    <n v="584.08000000000004"/>
    <n v="356.18"/>
    <n v="581.23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8.6"/>
    <n v="651.86"/>
    <n v="651.86"/>
    <n v="0"/>
    <n v="0"/>
    <n v="0"/>
    <m/>
    <m/>
    <m/>
    <m/>
    <m/>
    <m/>
    <m/>
    <m/>
    <m/>
    <m/>
    <m/>
    <m/>
    <s v="BHX"/>
    <s v="AX1"/>
    <m/>
    <m/>
    <s v="S"/>
    <s v="33D3H"/>
    <n v="735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882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4"/>
    <x v="17"/>
    <x v="17"/>
    <x v="0"/>
    <x v="0"/>
    <x v="0"/>
    <m/>
    <m/>
    <m/>
    <m/>
    <m/>
    <m/>
  </r>
  <r>
    <s v="LW"/>
    <s v="LWE"/>
    <s v="LWT"/>
    <s v="LW"/>
    <s v="AX2"/>
    <s v="E"/>
    <s v="(BHX)-KRPUS-(AX2)"/>
    <s v="37D3H"/>
    <n v="2"/>
    <s v="DR"/>
    <s v="D"/>
    <s v="Y"/>
    <s v="Y"/>
    <x v="30"/>
    <s v="XINGANG, TIANJIN"/>
    <x v="19"/>
    <s v="XINGANG, TIANJ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6.79"/>
    <n v="640.99"/>
    <n v="412.86"/>
    <n v="672.75"/>
    <n v="0"/>
    <n v="0"/>
    <n v="426.79"/>
    <n v="640.99"/>
    <n v="412.86"/>
    <n v="672.75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8.6"/>
    <n v="651.86"/>
    <n v="651.86"/>
    <n v="0"/>
    <n v="0"/>
    <n v="0"/>
    <m/>
    <m/>
    <m/>
    <m/>
    <m/>
    <m/>
    <m/>
    <m/>
    <m/>
    <m/>
    <m/>
    <m/>
    <s v="BHX"/>
    <s v="AX2"/>
    <m/>
    <m/>
    <s v="S"/>
    <s v="35D15H"/>
    <n v="795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882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4"/>
    <x v="17"/>
    <x v="17"/>
    <x v="0"/>
    <x v="0"/>
    <x v="0"/>
    <m/>
    <m/>
    <m/>
    <m/>
    <m/>
    <m/>
  </r>
  <r>
    <s v="LW"/>
    <s v="LWE"/>
    <s v="LWT"/>
    <s v="LW"/>
    <s v="AX3"/>
    <s v="E"/>
    <s v="(BHX)-KRPUS-(AX3)"/>
    <s v="41D0H"/>
    <n v="2"/>
    <s v="DR"/>
    <s v="D"/>
    <s v="Y"/>
    <s v="Y"/>
    <x v="30"/>
    <s v="XINGANG, TIANJIN"/>
    <x v="19"/>
    <s v="XINGANG, TIANJIN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8.37"/>
    <n v="596.55999999999995"/>
    <n v="368"/>
    <n v="600.61"/>
    <n v="0"/>
    <n v="0"/>
    <n v="388.37"/>
    <n v="596.55999999999995"/>
    <n v="368"/>
    <n v="600.61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28.6"/>
    <n v="651.86"/>
    <n v="651.86"/>
    <n v="0"/>
    <n v="0"/>
    <n v="0"/>
    <m/>
    <m/>
    <m/>
    <m/>
    <m/>
    <m/>
    <m/>
    <m/>
    <m/>
    <m/>
    <m/>
    <m/>
    <s v="BHX"/>
    <s v="AX3"/>
    <m/>
    <m/>
    <s v="S"/>
    <s v="39D12H"/>
    <n v="888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882001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3"/>
    <x v="3"/>
    <x v="4"/>
    <x v="17"/>
    <x v="17"/>
    <x v="0"/>
    <x v="0"/>
    <x v="0"/>
    <m/>
    <m/>
    <m/>
    <m/>
    <m/>
    <m/>
  </r>
  <r>
    <s v="LW"/>
    <s v="LWE"/>
    <s v="LWT"/>
    <s v="LW"/>
    <s v="AX2"/>
    <s v="E"/>
    <s v="(AX2)"/>
    <s v="36D16H"/>
    <n v="1"/>
    <s v="DR"/>
    <s v="D"/>
    <s v="Y"/>
    <s v="Y"/>
    <x v="31"/>
    <s v="YANTI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0.5"/>
    <n v="793.01"/>
    <n v="573.33000000000004"/>
    <n v="899.35"/>
    <n v="0"/>
    <n v="0"/>
    <n v="540.5"/>
    <n v="793.01"/>
    <n v="573.33000000000004"/>
    <n v="899.35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4D22H"/>
    <n v="758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1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12H"/>
    <n v="1"/>
    <s v="DR"/>
    <s v="D"/>
    <s v="Y"/>
    <s v="Y"/>
    <x v="31"/>
    <s v="YANTI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9.96"/>
    <n v="814.52"/>
    <n v="594.61"/>
    <n v="893.16"/>
    <n v="0"/>
    <n v="0"/>
    <n v="549.96"/>
    <n v="814.52"/>
    <n v="594.61"/>
    <n v="893.16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8H"/>
    <n v="800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1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5D23H"/>
    <n v="1"/>
    <s v="DR"/>
    <s v="D"/>
    <s v="Y"/>
    <s v="Y"/>
    <x v="31"/>
    <s v="YANTIAN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3.09"/>
    <n v="629.08000000000004"/>
    <n v="409.51"/>
    <n v="695.65"/>
    <n v="0"/>
    <n v="0"/>
    <n v="423.09"/>
    <n v="629.08000000000004"/>
    <n v="409.51"/>
    <n v="695.65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m/>
    <m/>
    <s v="S"/>
    <s v="34D12H"/>
    <n v="789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891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2)-KRPUS-(AX1)"/>
    <s v="51D21H"/>
    <n v="3"/>
    <s v="DR"/>
    <s v="D"/>
    <s v="Y"/>
    <s v="Y"/>
    <x v="53"/>
    <s v="ZHANGJIA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7.84"/>
    <n v="1224.77"/>
    <n v="987.68"/>
    <n v="1273.25"/>
    <n v="0"/>
    <n v="0"/>
    <n v="787.84"/>
    <n v="1224.77"/>
    <n v="987.68"/>
    <n v="1273.25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0D3H"/>
    <n v="999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33001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8D21H"/>
    <n v="1"/>
    <s v="DR"/>
    <s v="D"/>
    <s v="Y"/>
    <s v="Y"/>
    <x v="53"/>
    <s v="ZHANGJIA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5.29999999999995"/>
    <n v="980.65"/>
    <n v="744.98"/>
    <n v="1011.86"/>
    <n v="0"/>
    <n v="0"/>
    <n v="615.29999999999995"/>
    <n v="980.65"/>
    <n v="744.98"/>
    <n v="1011.86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7D4H"/>
    <n v="716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33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7D9H"/>
    <n v="3"/>
    <s v="DR"/>
    <s v="D"/>
    <s v="Y"/>
    <s v="Y"/>
    <x v="53"/>
    <s v="ZHANGJIA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1.83"/>
    <n v="1124.6500000000001"/>
    <n v="888.1"/>
    <n v="1199.68"/>
    <n v="0"/>
    <n v="0"/>
    <n v="721.83"/>
    <n v="1124.6500000000001"/>
    <n v="888.1"/>
    <n v="1199.68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33001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1D6H"/>
    <n v="3"/>
    <s v="DR"/>
    <s v="D"/>
    <s v="Y"/>
    <s v="Y"/>
    <x v="53"/>
    <s v="ZHANGJIA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2.8"/>
    <n v="1206.31"/>
    <n v="969.32"/>
    <n v="1251.32"/>
    <n v="0"/>
    <n v="0"/>
    <n v="832.8"/>
    <n v="1206.31"/>
    <n v="969.32"/>
    <n v="1251.32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49D12H"/>
    <n v="984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33001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53"/>
    <s v="ZHANGJIA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5.1"/>
    <n v="995.21"/>
    <n v="758.77"/>
    <n v="1034.47"/>
    <n v="0"/>
    <n v="0"/>
    <n v="625.1"/>
    <n v="995.21"/>
    <n v="758.77"/>
    <n v="1034.47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4D13H"/>
    <n v="89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33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7D9H"/>
    <n v="1"/>
    <s v="DR"/>
    <s v="D"/>
    <s v="Y"/>
    <s v="Y"/>
    <x v="53"/>
    <s v="ZHANGJIAG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9.84"/>
    <n v="979.95"/>
    <n v="743.4"/>
    <n v="1050.3599999999999"/>
    <n v="0"/>
    <n v="0"/>
    <n v="619.84"/>
    <n v="979.95"/>
    <n v="743.4"/>
    <n v="1050.3599999999999"/>
    <n v="0"/>
    <n v="0"/>
    <s v="CNZJG"/>
    <n v="245.74475320900001"/>
    <n v="385.95444586399998"/>
    <n v="337.00143270900003"/>
    <n v="295.29988498500001"/>
    <n v="0"/>
    <n v="0"/>
    <n v="245.74475320900001"/>
    <n v="385.95444586399998"/>
    <n v="337.00143270900003"/>
    <n v="295.299884985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33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8D18H"/>
    <n v="1"/>
    <s v="DR"/>
    <s v="D"/>
    <s v="Y"/>
    <s v="Y"/>
    <x v="69"/>
    <s v="ZHANJIANG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1.47"/>
    <n v="586.13"/>
    <n v="706.01"/>
    <n v="680.68"/>
    <n v="0"/>
    <n v="0"/>
    <n v="361.47"/>
    <n v="586.13"/>
    <n v="706.01"/>
    <n v="680.68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7D0H"/>
    <n v="758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673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8D18H"/>
    <n v="3"/>
    <s v="DR"/>
    <s v="D"/>
    <s v="Y"/>
    <s v="Y"/>
    <x v="69"/>
    <s v="ZHANJIANG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3.46"/>
    <n v="730.83"/>
    <n v="850.71"/>
    <n v="830.01"/>
    <n v="0"/>
    <n v="0"/>
    <n v="463.46"/>
    <n v="730.83"/>
    <n v="850.71"/>
    <n v="830.01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7D0H"/>
    <n v="773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673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8D11H"/>
    <n v="1"/>
    <s v="DR"/>
    <s v="D"/>
    <s v="Y"/>
    <s v="Y"/>
    <x v="69"/>
    <s v="ZHANJIANG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9.94"/>
    <n v="538.74"/>
    <n v="658.72"/>
    <n v="635.73"/>
    <n v="0"/>
    <n v="0"/>
    <n v="339.94"/>
    <n v="538.74"/>
    <n v="658.72"/>
    <n v="635.73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6D18H"/>
    <n v="790"/>
    <s v="2018-09-29"/>
    <s v="Historical averaged cost."/>
    <n v="110.87472"/>
    <n v="166.13449"/>
    <n v="166.13449"/>
    <n v="183.10584"/>
    <n v="0"/>
    <n v="0"/>
    <n v="121.03576"/>
    <n v="210.22"/>
    <n v="210.22"/>
    <n v="236.46565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67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0D14H"/>
    <n v="1"/>
    <s v="DR"/>
    <s v="D"/>
    <s v="Y"/>
    <s v="Y"/>
    <x v="69"/>
    <s v="ZHANJIANG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0.93"/>
    <n v="607.63"/>
    <n v="727.29"/>
    <n v="674.48"/>
    <n v="0"/>
    <n v="0"/>
    <n v="370.93"/>
    <n v="607.63"/>
    <n v="727.29"/>
    <n v="674.48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8D20H"/>
    <n v="800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673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9D5H"/>
    <n v="1"/>
    <s v="DR"/>
    <s v="D"/>
    <s v="Y"/>
    <s v="Y"/>
    <x v="69"/>
    <s v="ZHANJIANG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1.13"/>
    <n v="549.80999999999995"/>
    <n v="669.68"/>
    <n v="634.30999999999995"/>
    <n v="0"/>
    <n v="0"/>
    <n v="351.13"/>
    <n v="549.80999999999995"/>
    <n v="669.68"/>
    <n v="634.30999999999995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7D12H"/>
    <n v="789"/>
    <s v="2018-09-29"/>
    <s v="Historical averaged cost."/>
    <n v="88.532589999999999"/>
    <n v="132.29938999999999"/>
    <n v="132.29938999999999"/>
    <n v="162.43816000000001"/>
    <n v="0"/>
    <n v="0"/>
    <n v="146.51696999999999"/>
    <n v="235.70121"/>
    <n v="235.70121"/>
    <n v="265.13200999999998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673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-KRPUS-(AX1)"/>
    <s v="40D21H"/>
    <n v="3"/>
    <s v="DR"/>
    <s v="D"/>
    <s v="Y"/>
    <s v="Y"/>
    <x v="54"/>
    <s v="ZHAPU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9.45000000000005"/>
    <n v="846.52"/>
    <n v="639.82000000000005"/>
    <n v="788.89"/>
    <n v="0"/>
    <n v="0"/>
    <n v="539.45000000000005"/>
    <n v="846.52"/>
    <n v="639.82000000000005"/>
    <n v="788.89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4"/>
    <n v="660.63"/>
    <n v="660.63"/>
    <n v="0"/>
    <n v="0"/>
    <n v="0"/>
    <m/>
    <m/>
    <m/>
    <m/>
    <m/>
    <m/>
    <m/>
    <m/>
    <m/>
    <m/>
    <m/>
    <m/>
    <s v="AX1"/>
    <s v="AX1"/>
    <s v="F"/>
    <m/>
    <s v="T"/>
    <s v="39D3H"/>
    <n v="837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58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1"/>
    <s v="E"/>
    <s v="(AX1)"/>
    <s v="33D21H"/>
    <n v="1"/>
    <s v="DR"/>
    <s v="D"/>
    <s v="Y"/>
    <s v="Y"/>
    <x v="54"/>
    <s v="ZHAPU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5.99"/>
    <n v="684.96"/>
    <n v="479.03"/>
    <n v="619.28"/>
    <n v="0"/>
    <n v="0"/>
    <n v="425.99"/>
    <n v="684.96"/>
    <n v="479.03"/>
    <n v="619.28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4"/>
    <n v="660.63"/>
    <n v="660.63"/>
    <n v="0"/>
    <n v="0"/>
    <n v="0"/>
    <m/>
    <m/>
    <m/>
    <m/>
    <m/>
    <m/>
    <m/>
    <m/>
    <m/>
    <m/>
    <m/>
    <m/>
    <s v="AX1"/>
    <s v="AX1"/>
    <s v="F"/>
    <m/>
    <s v="S"/>
    <s v="32D3H"/>
    <n v="669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58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3"/>
    <s v="E"/>
    <s v="(AX3)"/>
    <s v="44D6H"/>
    <n v="1"/>
    <s v="DR"/>
    <s v="D"/>
    <s v="Y"/>
    <s v="Y"/>
    <x v="54"/>
    <s v="ZHAPU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9.99"/>
    <n v="705.76"/>
    <n v="498.73"/>
    <n v="651.58000000000004"/>
    <n v="0"/>
    <n v="0"/>
    <n v="439.99"/>
    <n v="705.76"/>
    <n v="498.73"/>
    <n v="651.58000000000004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4"/>
    <n v="660.63"/>
    <n v="660.63"/>
    <n v="0"/>
    <n v="0"/>
    <n v="0"/>
    <m/>
    <m/>
    <m/>
    <m/>
    <m/>
    <m/>
    <m/>
    <m/>
    <m/>
    <m/>
    <m/>
    <m/>
    <s v="AX3"/>
    <s v="AX3"/>
    <s v="F"/>
    <m/>
    <s v="S"/>
    <s v="42D12H"/>
    <n v="927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58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2"/>
    <s v="E"/>
    <s v="(AX3)-KRPUS-(AX2)"/>
    <s v="54D9H"/>
    <n v="3"/>
    <s v="DR"/>
    <s v="D"/>
    <s v="Y"/>
    <s v="Y"/>
    <x v="54"/>
    <s v="ZHAPU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1.66999999999996"/>
    <n v="926.31"/>
    <n v="718.17"/>
    <n v="915.94"/>
    <n v="0"/>
    <n v="0"/>
    <n v="601.66999999999996"/>
    <n v="926.31"/>
    <n v="718.17"/>
    <n v="915.94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4"/>
    <n v="660.63"/>
    <n v="660.63"/>
    <n v="0"/>
    <n v="0"/>
    <n v="0"/>
    <m/>
    <m/>
    <m/>
    <m/>
    <m/>
    <m/>
    <m/>
    <m/>
    <m/>
    <m/>
    <m/>
    <m/>
    <s v="AX3"/>
    <s v="AX2"/>
    <s v="F"/>
    <m/>
    <s v="T"/>
    <s v="52D15H"/>
    <n v="1170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58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2"/>
    <s v="E"/>
    <s v="(AX2)"/>
    <s v="33D21H"/>
    <n v="1"/>
    <s v="DR"/>
    <s v="D"/>
    <s v="Y"/>
    <s v="Y"/>
    <x v="54"/>
    <s v="ZHAPU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9.33"/>
    <n v="667.62"/>
    <n v="461.69"/>
    <n v="631.94000000000005"/>
    <n v="0"/>
    <n v="0"/>
    <n v="419.33"/>
    <n v="667.62"/>
    <n v="461.69"/>
    <n v="631.94000000000005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4"/>
    <n v="660.63"/>
    <n v="660.63"/>
    <n v="0"/>
    <n v="0"/>
    <n v="0"/>
    <m/>
    <m/>
    <m/>
    <m/>
    <m/>
    <m/>
    <m/>
    <m/>
    <m/>
    <m/>
    <m/>
    <m/>
    <s v="AX2"/>
    <s v="AX2"/>
    <s v="F"/>
    <m/>
    <s v="S"/>
    <s v="32D3H"/>
    <n v="692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58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1"/>
    <s v="E"/>
    <s v="(AX3)-KRPUS-(AX1)"/>
    <s v="44D21H"/>
    <n v="3"/>
    <s v="DR"/>
    <s v="D"/>
    <s v="Y"/>
    <s v="Y"/>
    <x v="54"/>
    <s v="ZHAPU, ZHEJIANG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5.04999999999995"/>
    <n v="854.84"/>
    <n v="647.70000000000005"/>
    <n v="801.81"/>
    <n v="0"/>
    <n v="0"/>
    <n v="545.04999999999995"/>
    <n v="854.84"/>
    <n v="647.70000000000005"/>
    <n v="801.81"/>
    <n v="0"/>
    <n v="0"/>
    <s v="CNZAP"/>
    <n v="183.513939322"/>
    <n v="301.10259514699999"/>
    <n v="281.33497990799998"/>
    <n v="166.13398593900001"/>
    <n v="0"/>
    <n v="0"/>
    <n v="183.513939322"/>
    <n v="301.10259514699999"/>
    <n v="281.33497990799998"/>
    <n v="166.13398593900001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2.4"/>
    <n v="660.63"/>
    <n v="660.63"/>
    <n v="0"/>
    <n v="0"/>
    <n v="0"/>
    <m/>
    <m/>
    <m/>
    <m/>
    <m/>
    <m/>
    <m/>
    <m/>
    <m/>
    <m/>
    <m/>
    <m/>
    <s v="AX3"/>
    <s v="AX1"/>
    <s v="F"/>
    <m/>
    <s v="T"/>
    <s v="43D3H"/>
    <n v="942"/>
    <s v="2018-09-29"/>
    <s v="Historical averaged cost."/>
    <n v="21.89311"/>
    <n v="32.839919999999999"/>
    <n v="32.839919999999999"/>
    <n v="46.555990000000001"/>
    <n v="0"/>
    <n v="0"/>
    <n v="122.16443"/>
    <n v="200.43745000000001"/>
    <n v="200.43745000000001"/>
    <n v="250.61997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58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12"/>
    <x v="12"/>
    <x v="12"/>
    <x v="0"/>
    <x v="0"/>
    <x v="0"/>
    <m/>
    <m/>
    <m/>
    <m/>
    <m/>
    <m/>
  </r>
  <r>
    <s v="LW"/>
    <s v="LWE"/>
    <s v="LWT"/>
    <s v="LW"/>
    <s v="AX2"/>
    <s v="E"/>
    <s v="(AX2)"/>
    <s v="35D21H"/>
    <n v="1"/>
    <s v="DR"/>
    <s v="D"/>
    <s v="Y"/>
    <s v="Y"/>
    <x v="70"/>
    <s v="ZHENJI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8.94"/>
    <n v="741.85"/>
    <n v="572.79999999999995"/>
    <n v="636.89"/>
    <n v="0"/>
    <n v="0"/>
    <n v="478.94"/>
    <n v="741.85"/>
    <n v="572.79999999999995"/>
    <n v="636.89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34D3H"/>
    <n v="692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42D21H"/>
    <n v="3"/>
    <s v="DR"/>
    <s v="D"/>
    <s v="Y"/>
    <s v="Y"/>
    <x v="70"/>
    <s v="ZHENJI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9.07000000000005"/>
    <n v="920.76"/>
    <n v="750.93"/>
    <n v="793.84"/>
    <n v="0"/>
    <n v="0"/>
    <n v="599.07000000000005"/>
    <n v="920.76"/>
    <n v="750.93"/>
    <n v="793.84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T"/>
    <s v="41D3H"/>
    <n v="837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46D21H"/>
    <n v="3"/>
    <s v="DR"/>
    <s v="D"/>
    <s v="Y"/>
    <s v="Y"/>
    <x v="70"/>
    <s v="ZHENJI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4.66999999999996"/>
    <n v="929.08"/>
    <n v="758.81"/>
    <n v="806.76"/>
    <n v="0"/>
    <n v="0"/>
    <n v="604.66999999999996"/>
    <n v="929.08"/>
    <n v="758.81"/>
    <n v="806.76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1"/>
    <s v="F"/>
    <m/>
    <s v="T"/>
    <s v="45D3H"/>
    <n v="942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MXZLO-(AX3)"/>
    <s v="51D6H"/>
    <n v="3"/>
    <s v="DR"/>
    <s v="D"/>
    <s v="Y"/>
    <s v="Y"/>
    <x v="70"/>
    <s v="ZHENJI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6.66"/>
    <n v="1089.1199999999999"/>
    <n v="918.41"/>
    <n v="992.62"/>
    <n v="0"/>
    <n v="0"/>
    <n v="766.66"/>
    <n v="1089.1199999999999"/>
    <n v="918.41"/>
    <n v="992.62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3"/>
    <s v="F"/>
    <m/>
    <s v="T"/>
    <s v="49D12H"/>
    <n v="984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1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5D21H"/>
    <n v="1"/>
    <s v="DR"/>
    <s v="D"/>
    <s v="Y"/>
    <s v="Y"/>
    <x v="70"/>
    <s v="ZHENJI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5.6"/>
    <n v="759.2"/>
    <n v="590.14"/>
    <n v="624.23"/>
    <n v="0"/>
    <n v="0"/>
    <n v="485.6"/>
    <n v="759.2"/>
    <n v="590.14"/>
    <n v="624.23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4D3H"/>
    <n v="669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4"/>
    <n v="74.88"/>
    <n v="70.92"/>
    <n v="116.2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70"/>
    <s v="ZHENJI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8.97"/>
    <n v="878.02"/>
    <n v="707.86"/>
    <n v="775.78"/>
    <n v="0"/>
    <n v="0"/>
    <n v="558.97"/>
    <n v="878.02"/>
    <n v="707.86"/>
    <n v="775.78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4D13H"/>
    <n v="897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"/>
    <s v="47D9H"/>
    <n v="3"/>
    <s v="DR"/>
    <s v="D"/>
    <s v="Y"/>
    <s v="Y"/>
    <x v="70"/>
    <s v="ZHENJI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5.7"/>
    <n v="1007.46"/>
    <n v="837.19"/>
    <n v="940.99"/>
    <n v="0"/>
    <n v="0"/>
    <n v="655.7"/>
    <n v="1007.46"/>
    <n v="837.19"/>
    <n v="940.99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T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1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1D21H"/>
    <n v="3"/>
    <s v="DR"/>
    <s v="D"/>
    <s v="Y"/>
    <s v="Y"/>
    <x v="70"/>
    <s v="ZHENJI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1.71"/>
    <n v="1107.58"/>
    <n v="936.77"/>
    <n v="1014.55"/>
    <n v="0"/>
    <n v="0"/>
    <n v="721.71"/>
    <n v="1107.58"/>
    <n v="936.77"/>
    <n v="1014.55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1"/>
    <s v="F"/>
    <m/>
    <s v="T"/>
    <s v="50D3H"/>
    <n v="999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1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8D21H"/>
    <n v="1"/>
    <s v="DR"/>
    <s v="D"/>
    <s v="Y"/>
    <s v="Y"/>
    <x v="70"/>
    <s v="ZHENJI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9.16999999999996"/>
    <n v="863.46"/>
    <n v="694.07"/>
    <n v="753.17"/>
    <n v="0"/>
    <n v="0"/>
    <n v="549.16999999999996"/>
    <n v="863.46"/>
    <n v="694.07"/>
    <n v="753.17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1"/>
    <s v="AX1"/>
    <s v="F"/>
    <m/>
    <s v="S"/>
    <s v="37D4H"/>
    <n v="716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3)-KRPUS-(AX2)"/>
    <s v="56D9H"/>
    <n v="3"/>
    <s v="DR"/>
    <s v="D"/>
    <s v="Y"/>
    <s v="Y"/>
    <x v="70"/>
    <s v="ZHENJI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1.29"/>
    <n v="1000.54"/>
    <n v="829.28"/>
    <n v="920.89"/>
    <n v="0"/>
    <n v="0"/>
    <n v="661.29"/>
    <n v="1000.54"/>
    <n v="829.28"/>
    <n v="920.89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2"/>
    <s v="F"/>
    <m/>
    <s v="T"/>
    <s v="54D15H"/>
    <n v="1170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3"/>
    <s v="E"/>
    <s v="(AX3)"/>
    <s v="46D6H"/>
    <n v="1"/>
    <s v="DR"/>
    <s v="D"/>
    <s v="Y"/>
    <s v="Y"/>
    <x v="70"/>
    <s v="ZHENJIANG, JIANGSU"/>
    <x v="4"/>
    <s v="NINGBO, ZHEJIA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9.6"/>
    <n v="780"/>
    <n v="609.84"/>
    <n v="656.53"/>
    <n v="0"/>
    <n v="0"/>
    <n v="499.6"/>
    <n v="780"/>
    <n v="609.84"/>
    <n v="656.53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3"/>
    <s v="AX3"/>
    <s v="F"/>
    <m/>
    <s v="S"/>
    <s v="44D12H"/>
    <n v="927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47D9H"/>
    <n v="1"/>
    <s v="DR"/>
    <s v="D"/>
    <s v="Y"/>
    <s v="Y"/>
    <x v="70"/>
    <s v="ZHENJIANG, JIANGSU"/>
    <x v="3"/>
    <s v="SHANGHAI, SHANGHAI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3.71"/>
    <n v="862.75"/>
    <n v="692.49"/>
    <n v="791.66"/>
    <n v="0"/>
    <n v="0"/>
    <n v="553.71"/>
    <n v="862.75"/>
    <n v="692.49"/>
    <n v="791.66"/>
    <n v="0"/>
    <n v="0"/>
    <s v="CNZHE"/>
    <n v="179.611957037"/>
    <n v="268.76370850199999"/>
    <n v="286.08999999999997"/>
    <n v="36.607571028000002"/>
    <n v="0"/>
    <n v="0"/>
    <n v="179.611957037"/>
    <n v="268.76370850199999"/>
    <n v="286.08999999999997"/>
    <n v="36.607571028000002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31.38"/>
    <n v="656.1"/>
    <n v="656.1"/>
    <n v="0"/>
    <n v="0"/>
    <n v="0"/>
    <m/>
    <m/>
    <m/>
    <m/>
    <m/>
    <m/>
    <m/>
    <m/>
    <m/>
    <m/>
    <m/>
    <m/>
    <s v="AX2"/>
    <s v="AX2"/>
    <s v="F"/>
    <m/>
    <s v="S"/>
    <s v="45D15H"/>
    <n v="891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197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3"/>
    <x v="3"/>
    <x v="2"/>
    <x v="2"/>
    <x v="2"/>
    <x v="0"/>
    <x v="0"/>
    <x v="0"/>
    <m/>
    <m/>
    <m/>
    <m/>
    <m/>
    <m/>
  </r>
  <r>
    <s v="LW"/>
    <s v="LWE"/>
    <s v="LWT"/>
    <s v="LW"/>
    <s v="AX2"/>
    <s v="E"/>
    <s v="(AX2)"/>
    <s v="38D14H"/>
    <n v="1"/>
    <s v="DR"/>
    <s v="D"/>
    <s v="Y"/>
    <s v="Y"/>
    <x v="55"/>
    <s v="ZHONGSHAN, GUANGDONG"/>
    <x v="9"/>
    <s v="SHEKOU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9.01"/>
    <n v="797.02"/>
    <n v="542.12"/>
    <n v="1001.39"/>
    <n v="0"/>
    <n v="0"/>
    <n v="519.01"/>
    <n v="797.02"/>
    <n v="542.12"/>
    <n v="1001.39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6D21H"/>
    <n v="790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36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7D18H"/>
    <n v="1"/>
    <s v="DR"/>
    <s v="D"/>
    <s v="Y"/>
    <s v="Y"/>
    <x v="55"/>
    <s v="ZHONGSHAN, GUANGDONG"/>
    <x v="8"/>
    <s v="YANTIAN, GUANGD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1.04"/>
    <n v="803.93"/>
    <n v="549.14"/>
    <n v="990.32"/>
    <n v="0"/>
    <n v="0"/>
    <n v="521.04"/>
    <n v="803.93"/>
    <n v="549.14"/>
    <n v="990.32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H"/>
    <n v="789"/>
    <s v="2018-09-29"/>
    <s v="Historical averaged cost."/>
    <n v="88.532589999999999"/>
    <n v="132.29938999999999"/>
    <n v="132.29938999999999"/>
    <n v="162.43816000000001"/>
    <n v="0"/>
    <n v="0"/>
    <n v="133.77636000000001"/>
    <n v="197.47939"/>
    <n v="197.47939"/>
    <n v="216.59030000000001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368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38D13H"/>
    <n v="1"/>
    <s v="DR"/>
    <s v="D"/>
    <s v="Y"/>
    <s v="Y"/>
    <x v="55"/>
    <s v="ZHONGSH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1.6"/>
    <n v="816.35"/>
    <n v="561.45000000000005"/>
    <n v="1007.01"/>
    <n v="0"/>
    <n v="0"/>
    <n v="521.6"/>
    <n v="816.35"/>
    <n v="561.45000000000005"/>
    <n v="1007.01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1"/>
    <s v="AX1"/>
    <s v="F"/>
    <m/>
    <s v="S"/>
    <s v="36D19H"/>
    <n v="800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35.264000000000003"/>
    <n v="49.228999999999999"/>
    <n v="49.228999999999999"/>
    <n v="1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368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AX2)"/>
    <s v="36D17H"/>
    <n v="1"/>
    <s v="DR"/>
    <s v="D"/>
    <s v="Y"/>
    <s v="Y"/>
    <x v="55"/>
    <s v="ZHONGSH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2.14"/>
    <n v="794.85"/>
    <n v="540.16999999999996"/>
    <n v="1013.21"/>
    <n v="0"/>
    <n v="0"/>
    <n v="512.14"/>
    <n v="794.85"/>
    <n v="540.16999999999996"/>
    <n v="1013.21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AX2"/>
    <s v="AX2"/>
    <s v="F"/>
    <m/>
    <s v="S"/>
    <s v="34D23H"/>
    <n v="758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368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"/>
    <s v="36D17H"/>
    <n v="3"/>
    <s v="DR"/>
    <s v="D"/>
    <s v="Y"/>
    <s v="Y"/>
    <x v="55"/>
    <s v="ZHONGSHAN, GUANGDONG"/>
    <x v="7"/>
    <s v="HONG KONG"/>
    <x v="3"/>
    <s v="CALLAO"/>
    <s v="PECLL"/>
    <s v="CALLA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4.13"/>
    <n v="939.55"/>
    <n v="684.87"/>
    <n v="1162.53"/>
    <n v="0"/>
    <n v="0"/>
    <n v="614.13"/>
    <n v="939.55"/>
    <n v="684.87"/>
    <n v="1162.53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PECLL"/>
    <n v="15.549956784000001"/>
    <n v="30.634333836"/>
    <n v="-151.79065028400001"/>
    <n v="30.924899212"/>
    <n v="0"/>
    <n v="0"/>
    <n v="15.549956784000001"/>
    <n v="30.634333836"/>
    <n v="-151.79065028400001"/>
    <n v="30.924899212"/>
    <n v="0"/>
    <n v="0"/>
    <m/>
    <m/>
    <m/>
    <m/>
    <m/>
    <m/>
    <n v="466.93"/>
    <n v="712.13"/>
    <n v="712.13"/>
    <n v="0"/>
    <n v="0"/>
    <n v="0"/>
    <m/>
    <m/>
    <m/>
    <m/>
    <m/>
    <m/>
    <m/>
    <m/>
    <m/>
    <m/>
    <m/>
    <m/>
    <s v="CSW"/>
    <s v="AX2"/>
    <s v="F"/>
    <m/>
    <s v="T"/>
    <s v="34D23H"/>
    <n v="773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8.606999999999999"/>
    <n v="31.885999999999999"/>
    <n v="31.885999999999999"/>
    <n v="27.885999999999999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368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3"/>
    <x v="3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2H"/>
    <n v="2"/>
    <s v="DR"/>
    <s v="D"/>
    <s v="Y"/>
    <s v="Y"/>
    <x v="2"/>
    <s v="CHONGQING, CHONGQING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34.71"/>
    <n v="1824.41"/>
    <n v="1869.43"/>
    <n v="4638.5600000000004"/>
    <n v="0"/>
    <n v="0"/>
    <n v="934.71"/>
    <n v="1824.41"/>
    <n v="1869.43"/>
    <n v="4638.560000000000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1"/>
    <s v="MAR"/>
    <s v="R"/>
    <m/>
    <s v="S"/>
    <s v="40D8H"/>
    <n v="794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19"/>
    <n v="19"/>
    <n v="19"/>
    <n v="19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2"/>
    <s v="E"/>
    <s v="(AX2)-MXLZC-(MAR)"/>
    <s v="56D2H"/>
    <n v="1"/>
    <s v="DR"/>
    <s v="D"/>
    <s v="Y"/>
    <s v="Y"/>
    <x v="2"/>
    <s v="CHONGQING, CHONGQING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0.6"/>
    <n v="1808.37"/>
    <n v="1851.85"/>
    <n v="4746.8500000000004"/>
    <n v="0"/>
    <n v="0"/>
    <n v="790.6"/>
    <n v="1808.37"/>
    <n v="1851.85"/>
    <n v="4746.850000000000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2"/>
    <s v="MAR"/>
    <s v="F"/>
    <m/>
    <s v="S"/>
    <s v="54D8H"/>
    <n v="956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19"/>
    <n v="19"/>
    <n v="19"/>
    <n v="19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2"/>
    <s v="E"/>
    <s v="(AX2)-MXLZC-(MAR)"/>
    <s v="38D2H"/>
    <n v="1"/>
    <s v="DR"/>
    <s v="D"/>
    <s v="Y"/>
    <s v="Y"/>
    <x v="2"/>
    <s v="CHONGQING, CHONGQING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85.9"/>
    <n v="1872.88"/>
    <n v="1918.35"/>
    <n v="4682.4399999999996"/>
    <n v="0"/>
    <n v="0"/>
    <n v="985.9"/>
    <n v="1872.88"/>
    <n v="1918.35"/>
    <n v="4682.439999999999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2"/>
    <s v="MAR"/>
    <s v="R"/>
    <m/>
    <s v="S"/>
    <s v="36D8H"/>
    <n v="721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19"/>
    <n v="19"/>
    <n v="19"/>
    <n v="19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3"/>
    <s v="E"/>
    <s v="(AX3)-MXZLO-(MAR)"/>
    <s v="51D2H"/>
    <n v="1"/>
    <s v="DR"/>
    <s v="D"/>
    <s v="Y"/>
    <s v="Y"/>
    <x v="2"/>
    <s v="CHONGQING, CHONGQING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6.81"/>
    <n v="1741.18"/>
    <n v="1785.21"/>
    <n v="4673.91"/>
    <n v="0"/>
    <n v="0"/>
    <n v="726.81"/>
    <n v="1741.18"/>
    <n v="1785.21"/>
    <n v="4673.91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3"/>
    <s v="MAR"/>
    <s v="F"/>
    <m/>
    <s v="S"/>
    <s v="49D9H"/>
    <n v="869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19"/>
    <n v="19"/>
    <n v="19"/>
    <n v="19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-MXLZC-(MAR)"/>
    <s v="56D2H"/>
    <n v="3"/>
    <s v="DR"/>
    <s v="D"/>
    <s v="Y"/>
    <s v="Y"/>
    <x v="2"/>
    <s v="CHONGQING, CHONGQING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0.37"/>
    <n v="1770.85"/>
    <n v="1814.33"/>
    <n v="4713.95"/>
    <n v="0"/>
    <n v="0"/>
    <n v="710.37"/>
    <n v="1770.85"/>
    <n v="1814.33"/>
    <n v="4713.95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2"/>
    <s v="MAR"/>
    <s v="F"/>
    <m/>
    <s v="T"/>
    <s v="54D8H"/>
    <n v="956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19"/>
    <n v="19"/>
    <n v="19"/>
    <n v="19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8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-MXZLO-(MAR)"/>
    <s v="57D2H"/>
    <n v="3"/>
    <s v="DR"/>
    <s v="D"/>
    <s v="Y"/>
    <s v="Y"/>
    <x v="2"/>
    <s v="CHONGQING, CHONGQING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8.88"/>
    <n v="1900.66"/>
    <n v="1944.03"/>
    <n v="4840.28"/>
    <n v="0"/>
    <n v="0"/>
    <n v="838.88"/>
    <n v="1900.66"/>
    <n v="1944.03"/>
    <n v="4840.28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1"/>
    <s v="MAR"/>
    <s v="F"/>
    <m/>
    <s v="T"/>
    <s v="55D9H"/>
    <n v="1009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19"/>
    <n v="19"/>
    <n v="19"/>
    <n v="19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9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MAR)"/>
    <s v="50D2H"/>
    <n v="1"/>
    <s v="DR"/>
    <s v="D"/>
    <s v="Y"/>
    <s v="Y"/>
    <x v="2"/>
    <s v="CHONGQING, CHONGQING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5.41"/>
    <n v="1739.1"/>
    <n v="1783.24"/>
    <n v="4670.68"/>
    <n v="0"/>
    <n v="0"/>
    <n v="725.41"/>
    <n v="1739.1"/>
    <n v="1783.24"/>
    <n v="4670.68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1"/>
    <s v="MAR"/>
    <s v="F"/>
    <m/>
    <s v="S"/>
    <s v="48D9H"/>
    <n v="841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19"/>
    <n v="19"/>
    <n v="19"/>
    <n v="19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3"/>
    <s v="E"/>
    <s v="(AX3)-MXZLO-(MAR)"/>
    <s v="46D2H"/>
    <n v="2"/>
    <s v="DR"/>
    <s v="D"/>
    <s v="Y"/>
    <s v="Y"/>
    <x v="2"/>
    <s v="CHONGQING, CHONGQING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40.31"/>
    <n v="1832.73"/>
    <n v="1877.31"/>
    <n v="4651.4799999999996"/>
    <n v="0"/>
    <n v="0"/>
    <n v="940.31"/>
    <n v="1832.73"/>
    <n v="1877.31"/>
    <n v="4651.479999999999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38"/>
    <n v="681.1"/>
    <n v="681.1"/>
    <n v="0"/>
    <n v="0"/>
    <n v="0"/>
    <m/>
    <m/>
    <m/>
    <m/>
    <m/>
    <m/>
    <m/>
    <m/>
    <m/>
    <m/>
    <m/>
    <m/>
    <s v="AX3"/>
    <s v="MAR"/>
    <s v="R"/>
    <m/>
    <s v="S"/>
    <s v="44D8H"/>
    <n v="899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19"/>
    <n v="19"/>
    <n v="19"/>
    <n v="19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49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MAR)"/>
    <s v="43D10H"/>
    <n v="2"/>
    <s v="DR"/>
    <s v="D"/>
    <s v="Y"/>
    <s v="Y"/>
    <x v="10"/>
    <s v="HUANGP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88"/>
    <n v="681.83"/>
    <n v="825.28"/>
    <n v="1214.29"/>
    <n v="0"/>
    <n v="0"/>
    <n v="548.88"/>
    <n v="681.83"/>
    <n v="825.28"/>
    <n v="1214.2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1"/>
    <s v="MAR"/>
    <s v="F"/>
    <m/>
    <s v="S"/>
    <s v="41D16H"/>
    <n v="925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70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41D23H"/>
    <n v="1"/>
    <s v="DR"/>
    <s v="D"/>
    <s v="Y"/>
    <s v="Y"/>
    <x v="10"/>
    <s v="HUANGPU, GUANGDONG"/>
    <x v="9"/>
    <s v="SHEKOU, GUANG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3.32000000000005"/>
    <n v="681.68"/>
    <n v="825.23"/>
    <n v="1192.25"/>
    <n v="0"/>
    <n v="0"/>
    <n v="573.32000000000005"/>
    <n v="681.68"/>
    <n v="825.23"/>
    <n v="1192.25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2"/>
    <s v="MAR"/>
    <s v="F"/>
    <m/>
    <s v="S"/>
    <s v="40D6H"/>
    <n v="855"/>
    <s v="2018-09-29"/>
    <s v="Historical averaged cost."/>
    <n v="110.87472"/>
    <n v="166.13449"/>
    <n v="166.13449"/>
    <n v="183.10584"/>
    <n v="0"/>
    <n v="0"/>
    <n v="36.31073"/>
    <n v="61.154910000000001"/>
    <n v="61.154910000000001"/>
    <n v="76.443640000000002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7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9D2H"/>
    <n v="1"/>
    <s v="DR"/>
    <s v="D"/>
    <s v="Y"/>
    <s v="Y"/>
    <x v="10"/>
    <s v="HUANGP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0.08000000000004"/>
    <n v="730.31"/>
    <n v="874.19"/>
    <n v="1258.17"/>
    <n v="0"/>
    <n v="0"/>
    <n v="600.08000000000004"/>
    <n v="730.31"/>
    <n v="874.19"/>
    <n v="1258.17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2"/>
    <s v="MAR"/>
    <s v="F"/>
    <m/>
    <s v="S"/>
    <s v="37D8H"/>
    <n v="823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70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2D14H"/>
    <n v="1"/>
    <s v="DR"/>
    <s v="D"/>
    <s v="Y"/>
    <s v="Y"/>
    <x v="10"/>
    <s v="HUANGPU, GUANGDONG"/>
    <x v="8"/>
    <s v="YANTIAN, GUANG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5.52"/>
    <n v="645.37"/>
    <n v="788.81"/>
    <n v="1172.8"/>
    <n v="0"/>
    <n v="0"/>
    <n v="525.52"/>
    <n v="645.37"/>
    <n v="788.81"/>
    <n v="1172.8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1"/>
    <s v="MAR"/>
    <s v="F"/>
    <m/>
    <s v="S"/>
    <s v="40D21H"/>
    <n v="914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70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3D10H"/>
    <n v="2"/>
    <s v="DR"/>
    <s v="D"/>
    <s v="Y"/>
    <s v="Y"/>
    <x v="10"/>
    <s v="HUANGP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9.78"/>
    <n v="862.73"/>
    <n v="1006.17"/>
    <n v="1353.43"/>
    <n v="0"/>
    <n v="0"/>
    <n v="729.78"/>
    <n v="862.73"/>
    <n v="1006.17"/>
    <n v="1353.43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1"/>
    <s v="MAR"/>
    <s v="F"/>
    <m/>
    <s v="S"/>
    <s v="41D16H"/>
    <n v="925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70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2"/>
    <s v="E"/>
    <s v="(CSW)-KRPUS-(AX2)-MXLZC-(MAR)"/>
    <s v="39D2H"/>
    <n v="3"/>
    <s v="DR"/>
    <s v="D"/>
    <s v="Y"/>
    <s v="Y"/>
    <x v="10"/>
    <s v="HUANGP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2.07"/>
    <n v="875.01"/>
    <n v="1018.89"/>
    <n v="1407.49"/>
    <n v="0"/>
    <n v="0"/>
    <n v="702.07"/>
    <n v="875.01"/>
    <n v="1018.89"/>
    <n v="1407.4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CSW"/>
    <s v="MAR"/>
    <s v="F"/>
    <m/>
    <s v="T"/>
    <s v="37D8H"/>
    <n v="838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070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2"/>
    <s v="E"/>
    <s v="(PS4)-TWKHH-(MD3)-KRPUS-(AX2)-MXLZC-(MAR)"/>
    <s v="58D16H"/>
    <n v="1"/>
    <s v="DR"/>
    <s v="D"/>
    <s v="Y"/>
    <s v="Y"/>
    <x v="12"/>
    <s v="KAOHSIUNG CITY"/>
    <x v="14"/>
    <s v="KEELU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61.24"/>
    <n v="1345.06"/>
    <n v="1321.36"/>
    <n v="1398.87"/>
    <n v="0"/>
    <n v="0"/>
    <n v="1061.24"/>
    <n v="1345.06"/>
    <n v="1321.36"/>
    <n v="1398.87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540.45000000000005"/>
    <n v="768.1"/>
    <n v="796.63"/>
    <n v="0"/>
    <n v="0"/>
    <n v="0"/>
    <m/>
    <m/>
    <m/>
    <m/>
    <m/>
    <m/>
    <m/>
    <m/>
    <m/>
    <m/>
    <m/>
    <m/>
    <s v="PS4"/>
    <s v="MAR"/>
    <s v="T"/>
    <m/>
    <s v="S"/>
    <s v="56D22H"/>
    <n v="1181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432.26275900000002"/>
    <n v="508.10896129999998"/>
    <n v="508.10896129999998"/>
    <n v="510.42095929999999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051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4"/>
    <x v="4"/>
    <x v="4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LZC-(MAR)"/>
    <s v="58D16H"/>
    <n v="1"/>
    <s v="DR"/>
    <s v="D"/>
    <s v="Y"/>
    <s v="Y"/>
    <x v="12"/>
    <s v="KAOHSIUNG CITY"/>
    <x v="14"/>
    <s v="KEELU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34.6600000000001"/>
    <n v="1399.08"/>
    <n v="1375.38"/>
    <n v="1408.81"/>
    <n v="0"/>
    <n v="0"/>
    <n v="1134.6600000000001"/>
    <n v="1399.08"/>
    <n v="1375.38"/>
    <n v="1408.81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540.45000000000005"/>
    <n v="768.1"/>
    <n v="796.63"/>
    <n v="0"/>
    <n v="0"/>
    <n v="0"/>
    <m/>
    <m/>
    <m/>
    <m/>
    <m/>
    <m/>
    <m/>
    <m/>
    <m/>
    <m/>
    <m/>
    <m/>
    <s v="PS4"/>
    <s v="MAR"/>
    <s v="T"/>
    <m/>
    <s v="S"/>
    <s v="56D22H"/>
    <n v="1181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505.68600199999997"/>
    <n v="562.12425459999997"/>
    <n v="562.12425459999997"/>
    <n v="520.36425459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051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4"/>
    <x v="4"/>
    <x v="4"/>
    <x v="8"/>
    <x v="8"/>
    <x v="8"/>
    <x v="0"/>
    <x v="0"/>
    <x v="0"/>
    <m/>
    <m/>
    <m/>
    <m/>
    <m/>
    <m/>
  </r>
  <r>
    <s v="LW"/>
    <s v="LWE"/>
    <s v="LWT"/>
    <s v="LW"/>
    <s v="AX1"/>
    <s v="E"/>
    <s v="(PS4)-TWKHH-(MD3)-KRPUS-(AX1)-MXZLO-(MAR)"/>
    <s v="58D16H"/>
    <n v="1"/>
    <s v="DR"/>
    <s v="D"/>
    <s v="Y"/>
    <s v="Y"/>
    <x v="12"/>
    <s v="KAOHSIUNG CITY"/>
    <x v="14"/>
    <s v="KEELU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3.77"/>
    <n v="1218.18"/>
    <n v="1194.48"/>
    <n v="1269.68"/>
    <n v="0"/>
    <n v="0"/>
    <n v="953.77"/>
    <n v="1218.18"/>
    <n v="1194.48"/>
    <n v="1269.68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540.45000000000005"/>
    <n v="768.1"/>
    <n v="796.63"/>
    <n v="0"/>
    <n v="0"/>
    <n v="0"/>
    <m/>
    <m/>
    <m/>
    <m/>
    <m/>
    <m/>
    <m/>
    <m/>
    <m/>
    <m/>
    <m/>
    <m/>
    <s v="PS4"/>
    <s v="MAR"/>
    <s v="T"/>
    <m/>
    <s v="S"/>
    <s v="56D22H"/>
    <n v="1181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24.79000200000002"/>
    <n v="381.22825460000001"/>
    <n v="381.22825460000001"/>
    <n v="381.22825460000001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051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4"/>
    <x v="4"/>
    <x v="4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MAR)"/>
    <s v="51D16H"/>
    <n v="1"/>
    <s v="DR"/>
    <s v="D"/>
    <s v="Y"/>
    <s v="Y"/>
    <x v="12"/>
    <s v="KAOHSIUNG CITY"/>
    <x v="14"/>
    <s v="KEELU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61"/>
    <n v="947.82"/>
    <n v="924.89"/>
    <n v="991.27"/>
    <n v="0"/>
    <n v="0"/>
    <n v="744.61"/>
    <n v="947.82"/>
    <n v="924.89"/>
    <n v="991.27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540.45000000000005"/>
    <n v="768.1"/>
    <n v="796.63"/>
    <n v="0"/>
    <n v="0"/>
    <n v="0"/>
    <m/>
    <m/>
    <m/>
    <m/>
    <m/>
    <m/>
    <m/>
    <m/>
    <m/>
    <m/>
    <m/>
    <m/>
    <s v="AX1"/>
    <s v="MAR"/>
    <s v="T"/>
    <m/>
    <s v="S"/>
    <s v="49D22H"/>
    <n v="1011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051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4"/>
    <x v="4"/>
    <x v="4"/>
    <x v="8"/>
    <x v="8"/>
    <x v="8"/>
    <x v="0"/>
    <x v="0"/>
    <x v="0"/>
    <m/>
    <m/>
    <m/>
    <m/>
    <m/>
    <m/>
  </r>
  <r>
    <s v="LW"/>
    <s v="LWE"/>
    <s v="LWT"/>
    <s v="LW"/>
    <s v="AX1"/>
    <s v="E"/>
    <s v="(MD1)-KRPUS-(AX1)-MXZLO-(MAR)"/>
    <s v="40D19H"/>
    <n v="2"/>
    <s v="DR"/>
    <s v="D"/>
    <s v="Y"/>
    <s v="Y"/>
    <x v="42"/>
    <s v="LIANYUNGANG, JIANGSU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4.16"/>
    <n v="1229.8"/>
    <n v="1230.67"/>
    <n v="1446.87"/>
    <n v="0"/>
    <n v="0"/>
    <n v="834.16"/>
    <n v="1229.8"/>
    <n v="1230.67"/>
    <n v="1446.87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MD1"/>
    <s v="MAR"/>
    <s v="F"/>
    <m/>
    <s v="S"/>
    <s v="39D1H"/>
    <n v="853"/>
    <s v="2018-09-29"/>
    <s v="Historical averaged cost."/>
    <n v="72.402259999999998"/>
    <n v="108.10339"/>
    <n v="108.10339"/>
    <n v="143.21652"/>
    <n v="0"/>
    <n v="0"/>
    <n v="125"/>
    <n v="220"/>
    <n v="220"/>
    <n v="26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3"/>
    <s v="E"/>
    <s v="(AX3)-MXZLO-(MAR)"/>
    <s v="41D2H"/>
    <n v="1"/>
    <s v="DR"/>
    <s v="D"/>
    <s v="Y"/>
    <s v="Y"/>
    <x v="42"/>
    <s v="LIANYUNGANG, JIANGSU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2.23"/>
    <n v="1308.4100000000001"/>
    <n v="1309.28"/>
    <n v="1576.09"/>
    <n v="0"/>
    <n v="0"/>
    <n v="832.23"/>
    <n v="1308.4100000000001"/>
    <n v="1309.28"/>
    <n v="1576.09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3"/>
    <s v="MAR"/>
    <s v="F"/>
    <m/>
    <s v="S"/>
    <s v="39D9H"/>
    <n v="869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8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3"/>
    <s v="E"/>
    <s v="(AX3)-MXZLO-(MAR)"/>
    <s v="38D19H"/>
    <n v="1"/>
    <s v="DR"/>
    <s v="D"/>
    <s v="Y"/>
    <s v="Y"/>
    <x v="42"/>
    <s v="LIANYUNGANG, JIANGSU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71"/>
    <n v="1078.6600000000001"/>
    <n v="1079.75"/>
    <n v="1293.44"/>
    <n v="0"/>
    <n v="0"/>
    <n v="727.71"/>
    <n v="1078.6600000000001"/>
    <n v="1079.75"/>
    <n v="1293.44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s v="F"/>
    <m/>
    <s v="S"/>
    <s v="37D1H"/>
    <n v="780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MD1)-KRPUS-(AX2)-MXLZC-(MAR)"/>
    <s v="40D19H"/>
    <n v="2"/>
    <s v="DR"/>
    <s v="D"/>
    <s v="Y"/>
    <s v="Y"/>
    <x v="42"/>
    <s v="LIANYUNGANG, JIANGSU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41.63"/>
    <n v="1356.68"/>
    <n v="1357.55"/>
    <n v="1576.07"/>
    <n v="0"/>
    <n v="0"/>
    <n v="941.63"/>
    <n v="1356.68"/>
    <n v="1357.55"/>
    <n v="1576.07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MD1"/>
    <s v="MAR"/>
    <s v="F"/>
    <m/>
    <s v="S"/>
    <s v="39D1H"/>
    <n v="853"/>
    <s v="2018-09-29"/>
    <s v="Historical averaged cost."/>
    <n v="72.402259999999998"/>
    <n v="108.10339"/>
    <n v="108.10339"/>
    <n v="143.21652"/>
    <n v="0"/>
    <n v="0"/>
    <n v="125"/>
    <n v="220"/>
    <n v="220"/>
    <n v="26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36.56647099999998"/>
    <n v="399.30848930000002"/>
    <n v="399.30848930000002"/>
    <n v="401.62048729999998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-MXZLO-(MAR)"/>
    <s v="45D19H"/>
    <n v="3"/>
    <s v="DR"/>
    <s v="D"/>
    <s v="Y"/>
    <s v="Y"/>
    <x v="42"/>
    <s v="LIANYUNGANG, JIANGSU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1.18"/>
    <n v="1240.22"/>
    <n v="1240.54"/>
    <n v="1463.05"/>
    <n v="0"/>
    <n v="0"/>
    <n v="841.18"/>
    <n v="1240.22"/>
    <n v="1240.54"/>
    <n v="1463.05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s v="F"/>
    <m/>
    <s v="T"/>
    <s v="44D1H"/>
    <n v="948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2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AX2)-KRPUS-(AX2)-MXLZC-(MAR)"/>
    <s v="46D2H"/>
    <n v="3"/>
    <s v="DR"/>
    <s v="D"/>
    <s v="Y"/>
    <s v="Y"/>
    <x v="42"/>
    <s v="LIANYUNGANG, JIANGSU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98.02"/>
    <n v="1520.3"/>
    <n v="1520.62"/>
    <n v="1798.36"/>
    <n v="0"/>
    <n v="0"/>
    <n v="998.02"/>
    <n v="1520.3"/>
    <n v="1520.62"/>
    <n v="1798.3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2"/>
    <s v="MAR"/>
    <s v="F"/>
    <m/>
    <s v="T"/>
    <s v="44D8H"/>
    <n v="956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9CC)-KRPUS-(AX1)-MXLZC-(MAR)"/>
    <s v="43D20H"/>
    <n v="2"/>
    <s v="DR"/>
    <s v="D"/>
    <s v="Y"/>
    <s v="Y"/>
    <x v="42"/>
    <s v="LIANYUNGANG, JIANGSU"/>
    <x v="28"/>
    <s v="LIANYUNGANG, JIANGSU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92.28"/>
    <n v="1393.95"/>
    <n v="1394.48"/>
    <n v="1538.85"/>
    <n v="0"/>
    <n v="0"/>
    <n v="992.28"/>
    <n v="1393.95"/>
    <n v="1394.48"/>
    <n v="1538.85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9CC"/>
    <s v="MAR"/>
    <m/>
    <m/>
    <s v="S"/>
    <s v="42D8H"/>
    <n v="997"/>
    <s v="2018-09-29"/>
    <s v="Historical averaged cost."/>
    <n v="0"/>
    <n v="0"/>
    <n v="0"/>
    <n v="0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432.41092700000002"/>
    <n v="471.68626130000001"/>
    <n v="471.68626130000001"/>
    <n v="429.92626130000002"/>
    <n v="0"/>
    <n v="0"/>
    <n v="148"/>
    <n v="286.75"/>
    <n v="286.75"/>
    <n v="333"/>
    <n v="0"/>
    <n v="0"/>
    <n v="0"/>
    <n v="0"/>
    <n v="0"/>
    <n v="0"/>
    <n v="0"/>
    <n v="0"/>
    <n v="61.6"/>
    <n v="91.52"/>
    <n v="86.68"/>
    <n v="142.12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3"/>
    <s v="E"/>
    <s v="(MD1)-KRPUS-(AX3)-MXZLO-(MAR)"/>
    <s v="40D19H"/>
    <n v="2"/>
    <s v="DR"/>
    <s v="D"/>
    <s v="Y"/>
    <s v="Y"/>
    <x v="42"/>
    <s v="LIANYUNGANG, JIANGSU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4.16"/>
    <n v="1229.8"/>
    <n v="1230.67"/>
    <n v="1446.87"/>
    <n v="0"/>
    <n v="0"/>
    <n v="834.16"/>
    <n v="1229.8"/>
    <n v="1230.67"/>
    <n v="1446.87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MD1"/>
    <s v="MAR"/>
    <s v="F"/>
    <m/>
    <s v="S"/>
    <s v="39D1H"/>
    <n v="853"/>
    <s v="2018-09-29"/>
    <s v="Historical averaged cost."/>
    <n v="72.402259999999998"/>
    <n v="108.10339"/>
    <n v="108.10339"/>
    <n v="143.21652"/>
    <n v="0"/>
    <n v="0"/>
    <n v="125"/>
    <n v="220"/>
    <n v="220"/>
    <n v="26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AX1)-KRPUS-(AX1)-MXZLO-(MAR)"/>
    <s v="47D2H"/>
    <n v="3"/>
    <s v="DR"/>
    <s v="D"/>
    <s v="Y"/>
    <s v="Y"/>
    <x v="42"/>
    <s v="LIANYUNGANG, JIANGSU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44.3"/>
    <n v="1467.89"/>
    <n v="1468.1"/>
    <n v="1742.47"/>
    <n v="0"/>
    <n v="0"/>
    <n v="944.3"/>
    <n v="1467.89"/>
    <n v="1468.1"/>
    <n v="1742.47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1"/>
    <s v="MAR"/>
    <s v="F"/>
    <m/>
    <s v="T"/>
    <s v="45D9H"/>
    <n v="1009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9CC)-KRPUS-(AX1)-MXZLO-(MAR)"/>
    <s v="43D20H"/>
    <n v="2"/>
    <s v="DR"/>
    <s v="D"/>
    <s v="Y"/>
    <s v="Y"/>
    <x v="42"/>
    <s v="LIANYUNGANG, JIANGSU"/>
    <x v="28"/>
    <s v="LIANYUNGANG, JIANGSU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1.38"/>
    <n v="1213.05"/>
    <n v="1213.5899999999999"/>
    <n v="1399.71"/>
    <n v="0"/>
    <n v="0"/>
    <n v="811.38"/>
    <n v="1213.05"/>
    <n v="1213.5899999999999"/>
    <n v="1399.7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9CC"/>
    <s v="MAR"/>
    <m/>
    <m/>
    <s v="S"/>
    <s v="42D8H"/>
    <n v="997"/>
    <s v="2018-09-29"/>
    <s v="Historical averaged cost."/>
    <n v="0"/>
    <n v="0"/>
    <n v="0"/>
    <n v="0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51.514927"/>
    <n v="290.7902613"/>
    <n v="290.7902613"/>
    <n v="290.7902613"/>
    <n v="0"/>
    <n v="0"/>
    <n v="148"/>
    <n v="286.75"/>
    <n v="286.75"/>
    <n v="333"/>
    <n v="0"/>
    <n v="0"/>
    <n v="0"/>
    <n v="0"/>
    <n v="0"/>
    <n v="0"/>
    <n v="0"/>
    <n v="0"/>
    <n v="61.6"/>
    <n v="91.52"/>
    <n v="86.68"/>
    <n v="142.12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3"/>
    <s v="E"/>
    <s v="(9CC)-KRPUS-(AX3)-MXZLO-(MAR)"/>
    <s v="36D20H"/>
    <n v="2"/>
    <s v="DR"/>
    <s v="D"/>
    <s v="Y"/>
    <s v="Y"/>
    <x v="42"/>
    <s v="LIANYUNGANG, JIANGSU"/>
    <x v="28"/>
    <s v="LIANYUNGANG, JIANGSU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1.58"/>
    <n v="1198.49"/>
    <n v="1199.8"/>
    <n v="1377.1"/>
    <n v="0"/>
    <n v="0"/>
    <n v="801.58"/>
    <n v="1198.49"/>
    <n v="1199.8"/>
    <n v="1377.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9CC"/>
    <s v="MAR"/>
    <m/>
    <m/>
    <s v="S"/>
    <s v="35D8H"/>
    <n v="829"/>
    <s v="2018-09-29"/>
    <s v="Historical averaged cost."/>
    <n v="0"/>
    <n v="0"/>
    <n v="0"/>
    <n v="0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51.514927"/>
    <n v="290.7902613"/>
    <n v="290.7902613"/>
    <n v="290.7902613"/>
    <n v="0"/>
    <n v="0"/>
    <n v="148"/>
    <n v="286.75"/>
    <n v="286.75"/>
    <n v="333"/>
    <n v="0"/>
    <n v="0"/>
    <n v="0"/>
    <n v="0"/>
    <n v="0"/>
    <n v="0"/>
    <n v="0"/>
    <n v="0"/>
    <n v="51.8"/>
    <n v="76.959999999999994"/>
    <n v="72.89"/>
    <n v="119.51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AX1)-MXZLO-(MAR)"/>
    <s v="41D2H"/>
    <n v="2"/>
    <s v="DR"/>
    <s v="D"/>
    <s v="Y"/>
    <s v="Y"/>
    <x v="42"/>
    <s v="LIANYUNGANG, JIANGSU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5.18"/>
    <n v="1138.67"/>
    <n v="1139.54"/>
    <n v="1377.13"/>
    <n v="0"/>
    <n v="0"/>
    <n v="745.18"/>
    <n v="1138.67"/>
    <n v="1139.54"/>
    <n v="1377.13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1"/>
    <s v="MAR"/>
    <s v="F"/>
    <m/>
    <s v="S"/>
    <s v="39D8H"/>
    <n v="794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AX1)-MXZLO-(MAR)"/>
    <s v="40D2H"/>
    <n v="1"/>
    <s v="DR"/>
    <s v="D"/>
    <s v="Y"/>
    <s v="Y"/>
    <x v="42"/>
    <s v="LIANYUNGANG, JIANGSU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0.83"/>
    <n v="1306.33"/>
    <n v="1307.31"/>
    <n v="1572.86"/>
    <n v="0"/>
    <n v="0"/>
    <n v="830.83"/>
    <n v="1306.33"/>
    <n v="1307.31"/>
    <n v="1572.86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1"/>
    <s v="MAR"/>
    <s v="F"/>
    <m/>
    <s v="S"/>
    <s v="38D9H"/>
    <n v="841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9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AX2)-MXLZC-(MAR)"/>
    <s v="46D2H"/>
    <n v="1"/>
    <s v="DR"/>
    <s v="D"/>
    <s v="Y"/>
    <s v="Y"/>
    <x v="42"/>
    <s v="LIANYUNGANG, JIANGSU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6.03"/>
    <n v="1375.6"/>
    <n v="1375.92"/>
    <n v="1649.04"/>
    <n v="0"/>
    <n v="0"/>
    <n v="896.03"/>
    <n v="1375.6"/>
    <n v="1375.92"/>
    <n v="1649.04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2"/>
    <s v="MAR"/>
    <s v="F"/>
    <m/>
    <s v="S"/>
    <s v="44D8H"/>
    <n v="956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0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AX2)-MXLZC-(MAR)"/>
    <s v="37D2H"/>
    <n v="1"/>
    <s v="DR"/>
    <s v="D"/>
    <s v="Y"/>
    <s v="Y"/>
    <x v="42"/>
    <s v="LIANYUNGANG, JIANGSU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6.38"/>
    <n v="1187.1400000000001"/>
    <n v="1188.45"/>
    <n v="1421"/>
    <n v="0"/>
    <n v="0"/>
    <n v="796.38"/>
    <n v="1187.1400000000001"/>
    <n v="1188.45"/>
    <n v="142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2"/>
    <s v="MAR"/>
    <s v="F"/>
    <m/>
    <s v="S"/>
    <s v="35D8H"/>
    <n v="721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-MXLZC-(MAR)"/>
    <s v="45D19H"/>
    <n v="2"/>
    <s v="DR"/>
    <s v="D"/>
    <s v="Y"/>
    <s v="Y"/>
    <x v="42"/>
    <s v="LIANYUNGANG, JIANGSU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22.07"/>
    <n v="1421.12"/>
    <n v="1421.44"/>
    <n v="1602.18"/>
    <n v="0"/>
    <n v="0"/>
    <n v="1022.07"/>
    <n v="1421.12"/>
    <n v="1421.44"/>
    <n v="1602.18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s v="F"/>
    <m/>
    <s v="S"/>
    <s v="44D1H"/>
    <n v="948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409.98971399999999"/>
    <n v="453.32378260000002"/>
    <n v="453.32378260000002"/>
    <n v="411.56378260000002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2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-MXLZC-(MAR)"/>
    <s v="52D19H"/>
    <n v="2"/>
    <s v="DR"/>
    <s v="D"/>
    <s v="Y"/>
    <s v="Y"/>
    <x v="42"/>
    <s v="LIANYUNGANG, JIANGSU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58.45"/>
    <n v="1381.67"/>
    <n v="1381.21"/>
    <n v="1614.85"/>
    <n v="0"/>
    <n v="0"/>
    <n v="958.45"/>
    <n v="1381.67"/>
    <n v="1381.21"/>
    <n v="1614.85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s v="F"/>
    <m/>
    <s v="S"/>
    <s v="51D1H"/>
    <n v="1116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36.56647099999998"/>
    <n v="399.30848930000002"/>
    <n v="399.30848930000002"/>
    <n v="401.62048729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1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3"/>
    <s v="E"/>
    <s v="(AX3)-MXZLO-(MAR)"/>
    <s v="45D2H"/>
    <n v="2"/>
    <s v="DR"/>
    <s v="D"/>
    <s v="Y"/>
    <s v="Y"/>
    <x v="42"/>
    <s v="LIANYUNGANG, JIANGSU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0.78"/>
    <n v="1146.99"/>
    <n v="1147.42"/>
    <n v="1390.05"/>
    <n v="0"/>
    <n v="0"/>
    <n v="750.78"/>
    <n v="1146.99"/>
    <n v="1147.42"/>
    <n v="1390.05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6.23"/>
    <n v="681.83"/>
    <n v="681.83"/>
    <n v="0"/>
    <n v="0"/>
    <n v="0"/>
    <m/>
    <m/>
    <m/>
    <m/>
    <m/>
    <m/>
    <m/>
    <m/>
    <m/>
    <m/>
    <m/>
    <m/>
    <s v="AX3"/>
    <s v="MAR"/>
    <s v="F"/>
    <m/>
    <s v="S"/>
    <s v="43D8H"/>
    <n v="899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853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PMX)-CNSHA-(AX1)-MXZLO-(MAR)"/>
    <s v="65D22H"/>
    <n v="1"/>
    <s v="DR"/>
    <s v="D"/>
    <s v="Y"/>
    <s v="Y"/>
    <x v="66"/>
    <s v="MUNDRA"/>
    <x v="6"/>
    <s v="MUNDRA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1.73"/>
    <n v="676.77"/>
    <n v="597.83000000000004"/>
    <n v="4522.07"/>
    <n v="0"/>
    <n v="0"/>
    <n v="561.73"/>
    <n v="676.77"/>
    <n v="597.83000000000004"/>
    <n v="4522.0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60.45"/>
    <n v="694.67"/>
    <n v="694.67"/>
    <n v="0"/>
    <n v="0"/>
    <n v="0"/>
    <m/>
    <m/>
    <m/>
    <m/>
    <m/>
    <m/>
    <m/>
    <m/>
    <m/>
    <m/>
    <m/>
    <m/>
    <s v="PMX"/>
    <s v="MAR"/>
    <m/>
    <m/>
    <s v="S"/>
    <s v="64D10H"/>
    <n v="1516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55.97660144"/>
    <n v="312.96740213999999"/>
    <n v="313.65740213999999"/>
    <n v="252.67396736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751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4"/>
    <x v="4"/>
    <x v="4"/>
    <x v="27"/>
    <x v="29"/>
    <x v="29"/>
    <x v="0"/>
    <x v="0"/>
    <x v="0"/>
    <m/>
    <m/>
    <m/>
    <m/>
    <m/>
    <m/>
  </r>
  <r>
    <s v="LW"/>
    <s v="LWE"/>
    <s v="LWT"/>
    <s v="LW"/>
    <s v="AX3"/>
    <s v="E"/>
    <s v="(PMX)-CNTAO-(AX3)-MXZLO-(MAR)"/>
    <s v="58D22H"/>
    <n v="2"/>
    <s v="DR"/>
    <s v="D"/>
    <s v="Y"/>
    <s v="Y"/>
    <x v="66"/>
    <s v="MUNDRA"/>
    <x v="6"/>
    <s v="MUNDRA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5.20000000000005"/>
    <n v="824.42"/>
    <n v="738.3"/>
    <n v="4868.08"/>
    <n v="0"/>
    <n v="0"/>
    <n v="585.20000000000005"/>
    <n v="824.42"/>
    <n v="738.3"/>
    <n v="4868.08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60.45"/>
    <n v="694.67"/>
    <n v="694.67"/>
    <n v="0"/>
    <n v="0"/>
    <n v="0"/>
    <m/>
    <m/>
    <m/>
    <m/>
    <m/>
    <m/>
    <m/>
    <m/>
    <m/>
    <m/>
    <m/>
    <m/>
    <s v="PMX"/>
    <s v="MAR"/>
    <m/>
    <m/>
    <s v="S"/>
    <s v="57D10H"/>
    <n v="1348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96.84526084999999"/>
    <n v="337.89378255000003"/>
    <n v="337.89378255000003"/>
    <n v="408.12004338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751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4"/>
    <x v="4"/>
    <x v="4"/>
    <x v="27"/>
    <x v="29"/>
    <x v="29"/>
    <x v="0"/>
    <x v="0"/>
    <x v="0"/>
    <m/>
    <m/>
    <m/>
    <m/>
    <m/>
    <m/>
  </r>
  <r>
    <s v="LW"/>
    <s v="LWE"/>
    <s v="LWT"/>
    <s v="LW"/>
    <s v="AX3"/>
    <s v="E"/>
    <s v="(NCI)-CNTAO-(AX3)-MXZLO-(MAR)"/>
    <s v="65D8H"/>
    <n v="1"/>
    <s v="DR"/>
    <s v="D"/>
    <s v="Y"/>
    <s v="Y"/>
    <x v="66"/>
    <s v="MUNDRA"/>
    <x v="6"/>
    <s v="MUNDRA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85"/>
    <n v="599.23"/>
    <n v="519.6"/>
    <n v="4539.93"/>
    <n v="0"/>
    <n v="0"/>
    <n v="504.85"/>
    <n v="599.23"/>
    <n v="519.6"/>
    <n v="4539.93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60.45"/>
    <n v="694.67"/>
    <n v="694.67"/>
    <n v="0"/>
    <n v="0"/>
    <n v="0"/>
    <m/>
    <m/>
    <m/>
    <m/>
    <m/>
    <m/>
    <m/>
    <m/>
    <m/>
    <m/>
    <m/>
    <m/>
    <s v="NCI"/>
    <s v="MAR"/>
    <m/>
    <m/>
    <s v="S"/>
    <s v="63D20H"/>
    <n v="1502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99.09126083999999"/>
    <n v="235.42239128"/>
    <n v="235.42239128"/>
    <n v="270.5355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751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4"/>
    <x v="4"/>
    <x v="4"/>
    <x v="27"/>
    <x v="29"/>
    <x v="29"/>
    <x v="0"/>
    <x v="0"/>
    <x v="0"/>
    <m/>
    <m/>
    <m/>
    <m/>
    <m/>
    <m/>
  </r>
  <r>
    <s v="LW"/>
    <s v="LWE"/>
    <s v="LWT"/>
    <s v="LW"/>
    <s v="AX1"/>
    <s v="E"/>
    <s v="(AX1)-MXZLO-(MAR)"/>
    <s v="36D20H"/>
    <n v="2"/>
    <s v="DR"/>
    <s v="D"/>
    <s v="Y"/>
    <s v="Y"/>
    <x v="17"/>
    <s v="NINGBO, ZHEJIANG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4.39"/>
    <n v="729.65"/>
    <n v="735.72"/>
    <n v="838.73"/>
    <n v="0"/>
    <n v="0"/>
    <n v="494.39"/>
    <n v="729.65"/>
    <n v="735.72"/>
    <n v="838.73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5.94"/>
    <n v="683.44"/>
    <n v="683.44"/>
    <n v="0"/>
    <n v="0"/>
    <n v="0"/>
    <m/>
    <m/>
    <m/>
    <m/>
    <m/>
    <m/>
    <m/>
    <m/>
    <m/>
    <m/>
    <m/>
    <m/>
    <s v="AX1"/>
    <s v="MAR"/>
    <m/>
    <m/>
    <s v="S"/>
    <s v="35D8H"/>
    <n v="794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180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2"/>
    <x v="12"/>
    <x v="12"/>
    <x v="0"/>
    <x v="0"/>
    <x v="0"/>
    <m/>
    <m/>
    <m/>
    <m/>
    <m/>
    <m/>
  </r>
  <r>
    <s v="LW"/>
    <s v="LWE"/>
    <s v="LWT"/>
    <s v="LW"/>
    <s v="AX2"/>
    <s v="E"/>
    <s v="(AX2)-MXLZC-(MAR)"/>
    <s v="32D20H"/>
    <n v="1"/>
    <s v="DR"/>
    <s v="D"/>
    <s v="Y"/>
    <s v="Y"/>
    <x v="17"/>
    <s v="NINGBO, ZHEJIANG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5.59"/>
    <n v="778.12"/>
    <n v="784.63"/>
    <n v="882.6"/>
    <n v="0"/>
    <n v="0"/>
    <n v="545.59"/>
    <n v="778.12"/>
    <n v="784.63"/>
    <n v="882.6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5.94"/>
    <n v="683.44"/>
    <n v="683.44"/>
    <n v="0"/>
    <n v="0"/>
    <n v="0"/>
    <m/>
    <m/>
    <m/>
    <m/>
    <m/>
    <m/>
    <m/>
    <m/>
    <m/>
    <m/>
    <m/>
    <m/>
    <s v="AX2"/>
    <s v="MAR"/>
    <m/>
    <m/>
    <s v="S"/>
    <s v="31D8H"/>
    <n v="721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18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2"/>
    <x v="12"/>
    <x v="12"/>
    <x v="0"/>
    <x v="0"/>
    <x v="0"/>
    <m/>
    <m/>
    <m/>
    <m/>
    <m/>
    <m/>
  </r>
  <r>
    <s v="LW"/>
    <s v="LWE"/>
    <s v="LWT"/>
    <s v="LW"/>
    <s v="AX3"/>
    <s v="E"/>
    <s v="(AX3)-MXZLO-(MAR)"/>
    <s v="40D20H"/>
    <n v="2"/>
    <s v="DR"/>
    <s v="D"/>
    <s v="Y"/>
    <s v="Y"/>
    <x v="17"/>
    <s v="NINGBO, ZHEJIANG"/>
    <x v="4"/>
    <s v="NINGBO, ZHEJIA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9.99"/>
    <n v="737.97"/>
    <n v="743.6"/>
    <n v="851.65"/>
    <n v="0"/>
    <n v="0"/>
    <n v="499.99"/>
    <n v="737.97"/>
    <n v="743.6"/>
    <n v="851.65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5.94"/>
    <n v="683.44"/>
    <n v="683.44"/>
    <n v="0"/>
    <n v="0"/>
    <n v="0"/>
    <m/>
    <m/>
    <m/>
    <m/>
    <m/>
    <m/>
    <m/>
    <m/>
    <m/>
    <m/>
    <m/>
    <m/>
    <s v="AX3"/>
    <s v="MAR"/>
    <m/>
    <m/>
    <s v="S"/>
    <s v="39D8H"/>
    <n v="899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180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2"/>
    <x v="12"/>
    <x v="12"/>
    <x v="0"/>
    <x v="0"/>
    <x v="0"/>
    <m/>
    <m/>
    <m/>
    <m/>
    <m/>
    <m/>
  </r>
  <r>
    <s v="LW"/>
    <s v="LWE"/>
    <s v="LWT"/>
    <s v="LW"/>
    <s v="AX1"/>
    <s v="E"/>
    <s v="(AX1)-MXLZC-(MAR)"/>
    <s v="26D0H"/>
    <n v="1"/>
    <s v="DR"/>
    <s v="D"/>
    <s v="Y"/>
    <s v="Y"/>
    <x v="20"/>
    <s v="PUSAN"/>
    <x v="17"/>
    <s v="PUSAN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5.46"/>
    <n v="852"/>
    <n v="837.4"/>
    <n v="842.84"/>
    <n v="0"/>
    <n v="0"/>
    <n v="695.46"/>
    <n v="852"/>
    <n v="837.4"/>
    <n v="842.84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69.21"/>
    <n v="699.61"/>
    <n v="699.61"/>
    <n v="0"/>
    <n v="0"/>
    <n v="0"/>
    <m/>
    <m/>
    <m/>
    <m/>
    <m/>
    <m/>
    <m/>
    <m/>
    <m/>
    <m/>
    <m/>
    <m/>
    <s v="AX1"/>
    <s v="MAR"/>
    <m/>
    <m/>
    <s v="S"/>
    <s v="24D12H"/>
    <n v="553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36.4"/>
    <n v="54.08"/>
    <n v="51.22"/>
    <n v="83.98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6550002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4"/>
    <x v="4"/>
    <x v="4"/>
    <x v="15"/>
    <x v="15"/>
    <x v="15"/>
    <x v="2"/>
    <x v="2"/>
    <x v="2"/>
    <m/>
    <m/>
    <m/>
    <m/>
    <m/>
    <m/>
  </r>
  <r>
    <s v="LW"/>
    <s v="LWE"/>
    <s v="LWT"/>
    <s v="LW"/>
    <s v="AX2"/>
    <s v="E"/>
    <s v="(AX2)-MXLZC-(MAR)"/>
    <s v="31D0H"/>
    <n v="1"/>
    <s v="DR"/>
    <s v="D"/>
    <s v="Y"/>
    <s v="Y"/>
    <x v="20"/>
    <s v="PUSAN"/>
    <x v="17"/>
    <s v="PUSAN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1.15"/>
    <n v="744.39"/>
    <n v="729.23"/>
    <n v="787"/>
    <n v="0"/>
    <n v="0"/>
    <n v="581.15"/>
    <n v="744.39"/>
    <n v="729.23"/>
    <n v="787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69.21"/>
    <n v="699.61"/>
    <n v="699.61"/>
    <n v="0"/>
    <n v="0"/>
    <n v="0"/>
    <m/>
    <m/>
    <m/>
    <m/>
    <m/>
    <m/>
    <m/>
    <m/>
    <m/>
    <m/>
    <m/>
    <m/>
    <s v="AX2"/>
    <s v="MAR"/>
    <m/>
    <m/>
    <s v="S"/>
    <s v="29D13H"/>
    <n v="666"/>
    <s v="2018-09-29"/>
    <s v="Historical averaged cost."/>
    <n v="102.23587000000001"/>
    <n v="144.99600000000001"/>
    <n v="144.99600000000001"/>
    <n v="149.26430999999999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43.4"/>
    <n v="64.48"/>
    <n v="61.07"/>
    <n v="100.13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6550003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4"/>
    <x v="4"/>
    <x v="4"/>
    <x v="15"/>
    <x v="15"/>
    <x v="15"/>
    <x v="2"/>
    <x v="2"/>
    <x v="2"/>
    <m/>
    <m/>
    <m/>
    <m/>
    <m/>
    <m/>
  </r>
  <r>
    <s v="LW"/>
    <s v="LWE"/>
    <s v="LWT"/>
    <s v="LW"/>
    <s v="AX3"/>
    <s v="E"/>
    <s v="(AX3)-MXZLO-(MAR)"/>
    <s v="33D0H"/>
    <n v="2"/>
    <s v="DR"/>
    <s v="D"/>
    <s v="Y"/>
    <s v="Y"/>
    <x v="20"/>
    <s v="PUSAN"/>
    <x v="17"/>
    <s v="PUSAN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4.37"/>
    <n v="685.67"/>
    <n v="670.29"/>
    <n v="726.31"/>
    <n v="0"/>
    <n v="0"/>
    <n v="524.37"/>
    <n v="685.67"/>
    <n v="670.29"/>
    <n v="726.31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69.21"/>
    <n v="699.61"/>
    <n v="699.61"/>
    <n v="0"/>
    <n v="0"/>
    <n v="0"/>
    <m/>
    <m/>
    <m/>
    <m/>
    <m/>
    <m/>
    <m/>
    <m/>
    <m/>
    <m/>
    <m/>
    <m/>
    <s v="AX3"/>
    <s v="MAR"/>
    <m/>
    <m/>
    <s v="S"/>
    <s v="31D12H"/>
    <n v="716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6550006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4"/>
    <x v="4"/>
    <x v="4"/>
    <x v="15"/>
    <x v="15"/>
    <x v="15"/>
    <x v="2"/>
    <x v="2"/>
    <x v="2"/>
    <m/>
    <m/>
    <m/>
    <m/>
    <m/>
    <m/>
  </r>
  <r>
    <s v="LW"/>
    <s v="LWE"/>
    <s v="LWT"/>
    <s v="LW"/>
    <s v="AX1"/>
    <s v="E"/>
    <s v="(AX1)-MXZLO-(MAR)"/>
    <s v="33D0H"/>
    <n v="1"/>
    <s v="DR"/>
    <s v="D"/>
    <s v="Y"/>
    <s v="Y"/>
    <x v="20"/>
    <s v="PUSAN"/>
    <x v="17"/>
    <s v="PUSAN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4.37"/>
    <n v="685.67"/>
    <n v="670.29"/>
    <n v="726.31"/>
    <n v="0"/>
    <n v="0"/>
    <n v="524.37"/>
    <n v="685.67"/>
    <n v="670.29"/>
    <n v="726.31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69.21"/>
    <n v="699.61"/>
    <n v="699.61"/>
    <n v="0"/>
    <n v="0"/>
    <n v="0"/>
    <m/>
    <m/>
    <m/>
    <m/>
    <m/>
    <m/>
    <m/>
    <m/>
    <m/>
    <m/>
    <m/>
    <m/>
    <s v="AX1"/>
    <s v="MAR"/>
    <m/>
    <m/>
    <s v="S"/>
    <s v="31D12H"/>
    <n v="721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46.2"/>
    <n v="68.64"/>
    <n v="65.010000000000005"/>
    <n v="106.5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6550001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4"/>
    <x v="4"/>
    <x v="4"/>
    <x v="15"/>
    <x v="15"/>
    <x v="15"/>
    <x v="2"/>
    <x v="2"/>
    <x v="2"/>
    <m/>
    <m/>
    <m/>
    <m/>
    <m/>
    <m/>
  </r>
  <r>
    <s v="LW"/>
    <s v="LWE"/>
    <s v="LWT"/>
    <s v="LW"/>
    <s v="AX1"/>
    <s v="E"/>
    <s v="(MD1)-KRPUS-(AX1)-MXZLO-(MAR)"/>
    <s v="39D13H"/>
    <n v="2"/>
    <s v="DR"/>
    <s v="D"/>
    <s v="Y"/>
    <s v="Y"/>
    <x v="21"/>
    <s v="QINGDAO, SHANDONG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7.99"/>
    <n v="841.09"/>
    <n v="854.7"/>
    <n v="970.36"/>
    <n v="0"/>
    <n v="0"/>
    <n v="617.99"/>
    <n v="841.09"/>
    <n v="854.7"/>
    <n v="970.36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MD1"/>
    <s v="MAR"/>
    <m/>
    <m/>
    <s v="S"/>
    <s v="38D1H"/>
    <n v="853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38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3"/>
    <s v="E"/>
    <s v="(MD1)-KRPUS-(AX3)-MXZLO-(MAR)"/>
    <s v="39D13H"/>
    <n v="2"/>
    <s v="DR"/>
    <s v="D"/>
    <s v="Y"/>
    <s v="Y"/>
    <x v="21"/>
    <s v="QINGDAO, SHANDONG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7.99"/>
    <n v="841.09"/>
    <n v="854.7"/>
    <n v="970.36"/>
    <n v="0"/>
    <n v="0"/>
    <n v="617.99"/>
    <n v="841.09"/>
    <n v="854.7"/>
    <n v="970.36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MD1"/>
    <s v="MAR"/>
    <m/>
    <m/>
    <s v="S"/>
    <s v="38D1H"/>
    <n v="853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38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-MXZLO-(MAR)"/>
    <s v="44D13H"/>
    <n v="3"/>
    <s v="DR"/>
    <s v="D"/>
    <s v="Y"/>
    <s v="Y"/>
    <x v="21"/>
    <s v="QINGDAO, SHANDONG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5.01"/>
    <n v="851.51"/>
    <n v="864.57"/>
    <n v="986.54"/>
    <n v="0"/>
    <n v="0"/>
    <n v="625.01"/>
    <n v="851.51"/>
    <n v="864.57"/>
    <n v="986.54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m/>
    <m/>
    <s v="T"/>
    <s v="43D1H"/>
    <n v="948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38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AX3)-KRPUS-(AX2)-MXLZC-(MAR)"/>
    <s v="51D13H"/>
    <n v="2"/>
    <s v="DR"/>
    <s v="D"/>
    <s v="Y"/>
    <s v="Y"/>
    <x v="21"/>
    <s v="QINGDAO, SHANDONG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2.28"/>
    <n v="992.95"/>
    <n v="1005.24"/>
    <n v="1138.3399999999999"/>
    <n v="0"/>
    <n v="0"/>
    <n v="742.28"/>
    <n v="992.95"/>
    <n v="1005.24"/>
    <n v="1138.3399999999999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m/>
    <m/>
    <s v="S"/>
    <s v="50D1H"/>
    <n v="1116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36.56647099999998"/>
    <n v="399.30848930000002"/>
    <n v="399.30848930000002"/>
    <n v="401.62048729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38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3"/>
    <s v="E"/>
    <s v="(AX3)-MXZLO-(MAR)"/>
    <s v="37D13H"/>
    <n v="1"/>
    <s v="DR"/>
    <s v="D"/>
    <s v="Y"/>
    <s v="Y"/>
    <x v="21"/>
    <s v="QINGDAO, SHANDONG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1.54"/>
    <n v="689.95"/>
    <n v="703.78"/>
    <n v="816.93"/>
    <n v="0"/>
    <n v="0"/>
    <n v="511.54"/>
    <n v="689.95"/>
    <n v="703.78"/>
    <n v="816.93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m/>
    <m/>
    <s v="S"/>
    <s v="36D1H"/>
    <n v="780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38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-MXLZC-(MAR)"/>
    <s v="44D13H"/>
    <n v="2"/>
    <s v="DR"/>
    <s v="D"/>
    <s v="Y"/>
    <s v="Y"/>
    <x v="21"/>
    <s v="QINGDAO, SHANDONG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5.9"/>
    <n v="1032.4100000000001"/>
    <n v="1045.47"/>
    <n v="1125.67"/>
    <n v="0"/>
    <n v="0"/>
    <n v="805.9"/>
    <n v="1032.4100000000001"/>
    <n v="1045.47"/>
    <n v="1125.67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AX3"/>
    <s v="MAR"/>
    <m/>
    <m/>
    <s v="S"/>
    <s v="43D1H"/>
    <n v="948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409.98971399999999"/>
    <n v="453.32378260000002"/>
    <n v="453.32378260000002"/>
    <n v="411.5637826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38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MD1)-KRPUS-(AX2)-MXLZC-(MAR)"/>
    <s v="39D13H"/>
    <n v="2"/>
    <s v="DR"/>
    <s v="D"/>
    <s v="Y"/>
    <s v="Y"/>
    <x v="21"/>
    <s v="QINGDAO, SHANDONG"/>
    <x v="18"/>
    <s v="QINGDAO, SHAN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5.46"/>
    <n v="967.97"/>
    <n v="981.58"/>
    <n v="1099.55"/>
    <n v="0"/>
    <n v="0"/>
    <n v="725.46"/>
    <n v="967.97"/>
    <n v="981.58"/>
    <n v="1099.55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4.77"/>
    <n v="679.64"/>
    <n v="679.64"/>
    <n v="0"/>
    <n v="0"/>
    <n v="0"/>
    <m/>
    <m/>
    <m/>
    <m/>
    <m/>
    <m/>
    <m/>
    <m/>
    <m/>
    <m/>
    <m/>
    <m/>
    <s v="MD1"/>
    <s v="MAR"/>
    <m/>
    <m/>
    <s v="S"/>
    <s v="38D1H"/>
    <n v="853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36.56647099999998"/>
    <n v="399.30848930000002"/>
    <n v="399.30848930000002"/>
    <n v="401.62048729999998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138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16"/>
    <x v="16"/>
    <x v="16"/>
    <x v="0"/>
    <x v="0"/>
    <x v="0"/>
    <m/>
    <m/>
    <m/>
    <m/>
    <m/>
    <m/>
  </r>
  <r>
    <s v="LW"/>
    <s v="LWE"/>
    <s v="LWT"/>
    <s v="LW"/>
    <s v="AX2"/>
    <s v="E"/>
    <s v="(AX2)-MXLZC-(MAR)"/>
    <s v="43D20H"/>
    <n v="1"/>
    <s v="DR"/>
    <s v="D"/>
    <s v="Y"/>
    <s v="Y"/>
    <x v="22"/>
    <s v="SHANGHAI, SHANGHAI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7.6"/>
    <n v="785.95"/>
    <n v="761.79"/>
    <n v="889.16"/>
    <n v="0"/>
    <n v="0"/>
    <n v="557.6"/>
    <n v="785.95"/>
    <n v="761.79"/>
    <n v="889.16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85.64"/>
    <n v="724.99"/>
    <n v="724.99"/>
    <n v="0"/>
    <n v="0"/>
    <n v="0"/>
    <m/>
    <m/>
    <m/>
    <m/>
    <m/>
    <m/>
    <m/>
    <m/>
    <m/>
    <m/>
    <m/>
    <m/>
    <s v="AX2"/>
    <s v="MAR"/>
    <m/>
    <m/>
    <s v="S"/>
    <s v="42D8H"/>
    <n v="956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830004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-MXZLO-(MAR)"/>
    <s v="44D20H"/>
    <n v="3"/>
    <s v="DR"/>
    <s v="D"/>
    <s v="Y"/>
    <s v="Y"/>
    <x v="22"/>
    <s v="SHANGHAI, SHANGHAI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5.87"/>
    <n v="878.24"/>
    <n v="853.97"/>
    <n v="982.59"/>
    <n v="0"/>
    <n v="0"/>
    <n v="605.87"/>
    <n v="878.24"/>
    <n v="853.97"/>
    <n v="982.59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85.64"/>
    <n v="724.99"/>
    <n v="724.99"/>
    <n v="0"/>
    <n v="0"/>
    <n v="0"/>
    <m/>
    <m/>
    <m/>
    <m/>
    <m/>
    <m/>
    <m/>
    <m/>
    <m/>
    <m/>
    <m/>
    <m/>
    <s v="AX1"/>
    <s v="MAR"/>
    <m/>
    <m/>
    <s v="T"/>
    <s v="43D9H"/>
    <n v="1009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830006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MAR)"/>
    <s v="37D20H"/>
    <n v="1"/>
    <s v="DR"/>
    <s v="D"/>
    <s v="Y"/>
    <s v="Y"/>
    <x v="22"/>
    <s v="SHANGHAI, SHANGHAI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2.41"/>
    <n v="716.68"/>
    <n v="693.18"/>
    <n v="812.98"/>
    <n v="0"/>
    <n v="0"/>
    <n v="492.41"/>
    <n v="716.68"/>
    <n v="693.18"/>
    <n v="812.98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85.64"/>
    <n v="724.99"/>
    <n v="724.99"/>
    <n v="0"/>
    <n v="0"/>
    <n v="0"/>
    <m/>
    <m/>
    <m/>
    <m/>
    <m/>
    <m/>
    <m/>
    <m/>
    <m/>
    <m/>
    <m/>
    <m/>
    <s v="AX1"/>
    <s v="MAR"/>
    <m/>
    <m/>
    <s v="S"/>
    <s v="36D9H"/>
    <n v="841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830003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2"/>
    <s v="E"/>
    <s v="(AX2)-KRPUS-(AX2)-MXLZC-(MAR)"/>
    <s v="43D20H"/>
    <n v="3"/>
    <s v="DR"/>
    <s v="D"/>
    <s v="Y"/>
    <s v="Y"/>
    <x v="22"/>
    <s v="SHANGHAI, SHANGHAI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7.37"/>
    <n v="748.43"/>
    <n v="724.27"/>
    <n v="856.26"/>
    <n v="0"/>
    <n v="0"/>
    <n v="477.37"/>
    <n v="748.43"/>
    <n v="724.27"/>
    <n v="856.26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85.64"/>
    <n v="724.99"/>
    <n v="724.99"/>
    <n v="0"/>
    <n v="0"/>
    <n v="0"/>
    <m/>
    <m/>
    <m/>
    <m/>
    <m/>
    <m/>
    <m/>
    <m/>
    <m/>
    <m/>
    <m/>
    <m/>
    <s v="AX2"/>
    <s v="MAR"/>
    <m/>
    <m/>
    <s v="T"/>
    <s v="42D8H"/>
    <n v="956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01.98732800000001"/>
    <n v="144.70199600000001"/>
    <n v="144.70199600000001"/>
    <n v="149.325992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830005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3"/>
    <s v="E"/>
    <s v="(AX3)-MXZLO-(MAR)"/>
    <s v="38D20H"/>
    <n v="1"/>
    <s v="DR"/>
    <s v="D"/>
    <s v="Y"/>
    <s v="Y"/>
    <x v="22"/>
    <s v="SHANGHAI, SHANGHAI"/>
    <x v="3"/>
    <s v="SHANGHAI, SHANGHAI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3.81"/>
    <n v="718.76"/>
    <n v="695.15"/>
    <n v="816.21"/>
    <n v="0"/>
    <n v="0"/>
    <n v="493.81"/>
    <n v="718.76"/>
    <n v="695.15"/>
    <n v="816.21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85.64"/>
    <n v="724.99"/>
    <n v="724.99"/>
    <n v="0"/>
    <n v="0"/>
    <n v="0"/>
    <m/>
    <m/>
    <m/>
    <m/>
    <m/>
    <m/>
    <m/>
    <m/>
    <m/>
    <m/>
    <m/>
    <m/>
    <s v="AX3"/>
    <s v="MAR"/>
    <m/>
    <m/>
    <s v="S"/>
    <s v="37D9H"/>
    <n v="869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3830002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4"/>
    <x v="4"/>
    <x v="4"/>
    <x v="2"/>
    <x v="2"/>
    <x v="2"/>
    <x v="0"/>
    <x v="0"/>
    <x v="0"/>
    <m/>
    <m/>
    <m/>
    <m/>
    <m/>
    <m/>
  </r>
  <r>
    <s v="LW"/>
    <s v="LWE"/>
    <s v="LWT"/>
    <s v="LW"/>
    <s v="AX2"/>
    <s v="E"/>
    <s v="(CSW)-KRPUS-(AX2)-MXLZC-(MAR)"/>
    <s v="39D3H"/>
    <n v="3"/>
    <s v="DR"/>
    <s v="D"/>
    <s v="Y"/>
    <s v="Y"/>
    <x v="24"/>
    <s v="SHEKO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9.79"/>
    <n v="1246.17"/>
    <n v="1254.22"/>
    <n v="1474.53"/>
    <n v="0"/>
    <n v="0"/>
    <n v="839.79"/>
    <n v="1246.17"/>
    <n v="1254.22"/>
    <n v="1474.53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CSW"/>
    <s v="MAR"/>
    <s v="F"/>
    <m/>
    <s v="T"/>
    <s v="37D9H"/>
    <n v="838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84.20932800000003"/>
    <n v="326.92399599999999"/>
    <n v="326.92399599999999"/>
    <n v="331.54799200000002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033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9D3H"/>
    <n v="1"/>
    <s v="DR"/>
    <s v="D"/>
    <s v="Y"/>
    <s v="Y"/>
    <x v="24"/>
    <s v="SHEKO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7.8"/>
    <n v="1101.46"/>
    <n v="1109.52"/>
    <n v="1325.2"/>
    <n v="0"/>
    <n v="0"/>
    <n v="737.8"/>
    <n v="1101.46"/>
    <n v="1109.52"/>
    <n v="1325.2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2"/>
    <s v="MAR"/>
    <s v="F"/>
    <m/>
    <s v="S"/>
    <s v="37D9H"/>
    <n v="823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033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1"/>
    <s v="E"/>
    <s v="(AX1)-MXLZC-(MAR)"/>
    <s v="43D11H"/>
    <n v="2"/>
    <s v="DR"/>
    <s v="D"/>
    <s v="Y"/>
    <s v="Y"/>
    <x v="24"/>
    <s v="SHEKO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7.51"/>
    <n v="1233.8900000000001"/>
    <n v="1241.5"/>
    <n v="1420.46"/>
    <n v="0"/>
    <n v="0"/>
    <n v="867.51"/>
    <n v="1233.8900000000001"/>
    <n v="1241.5"/>
    <n v="1420.46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1"/>
    <s v="MAR"/>
    <s v="F"/>
    <m/>
    <s v="S"/>
    <s v="41D17H"/>
    <n v="924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306.32400000000001"/>
    <n v="306.32400000000001"/>
    <n v="306.32400000000001"/>
    <n v="264.56400000000002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033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MAR)"/>
    <s v="43D11H"/>
    <n v="2"/>
    <s v="DR"/>
    <s v="D"/>
    <s v="Y"/>
    <s v="Y"/>
    <x v="24"/>
    <s v="SHEKOU, GUANGDONG"/>
    <x v="7"/>
    <s v="HONG K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6.61"/>
    <n v="1052.99"/>
    <n v="1060.6099999999999"/>
    <n v="1281.33"/>
    <n v="0"/>
    <n v="0"/>
    <n v="686.61"/>
    <n v="1052.99"/>
    <n v="1060.6099999999999"/>
    <n v="1281.33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1"/>
    <s v="MAR"/>
    <s v="F"/>
    <m/>
    <s v="S"/>
    <s v="41D17H"/>
    <n v="924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19"/>
    <n v="19"/>
    <n v="19"/>
    <n v="19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033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2"/>
    <s v="E"/>
    <s v="(AX2)-MXLZC-(MAR)"/>
    <s v="39D1H"/>
    <n v="1"/>
    <s v="DR"/>
    <s v="D"/>
    <s v="Y"/>
    <s v="Y"/>
    <x v="24"/>
    <s v="SHEKOU, GUANGDONG"/>
    <x v="9"/>
    <s v="SHEKOU, GUANGDONG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4.20000000000005"/>
    <n v="850.03"/>
    <n v="858.09"/>
    <n v="1028.1600000000001"/>
    <n v="0"/>
    <n v="0"/>
    <n v="574.20000000000005"/>
    <n v="850.03"/>
    <n v="858.09"/>
    <n v="1028.1600000000001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91.93"/>
    <n v="737.13"/>
    <n v="737.13"/>
    <n v="0"/>
    <n v="0"/>
    <n v="0"/>
    <m/>
    <m/>
    <m/>
    <m/>
    <m/>
    <m/>
    <m/>
    <m/>
    <m/>
    <m/>
    <m/>
    <m/>
    <s v="AX2"/>
    <s v="MAR"/>
    <m/>
    <m/>
    <s v="S"/>
    <s v="37D14H"/>
    <n v="855"/>
    <s v="2018-09-29"/>
    <s v="Historical averaged cost."/>
    <n v="103.94222000000001"/>
    <n v="155.98598999999999"/>
    <n v="155.98598999999999"/>
    <n v="172.95733999999999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182.22200000000001"/>
    <n v="182.22200000000001"/>
    <n v="182.22200000000001"/>
    <n v="182.22200000000001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03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4"/>
    <x v="4"/>
    <x v="4"/>
    <x v="3"/>
    <x v="3"/>
    <x v="3"/>
    <x v="0"/>
    <x v="0"/>
    <x v="0"/>
    <m/>
    <m/>
    <m/>
    <m/>
    <m/>
    <m/>
  </r>
  <r>
    <s v="LW"/>
    <s v="LWE"/>
    <s v="LWT"/>
    <s v="LW"/>
    <s v="AX1"/>
    <s v="E"/>
    <s v="(BHX)-KRPUS-(AX1)-MXZLO-(MAR)"/>
    <s v="39D20H"/>
    <n v="1"/>
    <s v="DR"/>
    <s v="D"/>
    <s v="Y"/>
    <s v="Y"/>
    <x v="30"/>
    <s v="XINGANG, TIANJIN"/>
    <x v="19"/>
    <s v="XINGANG, TIANJIN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05999999999995"/>
    <n v="804.03"/>
    <n v="788.41"/>
    <n v="858.13"/>
    <n v="0"/>
    <n v="0"/>
    <n v="548.05999999999995"/>
    <n v="804.03"/>
    <n v="788.41"/>
    <n v="858.13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3.6"/>
    <n v="676.86"/>
    <n v="676.86"/>
    <n v="0"/>
    <n v="0"/>
    <n v="0"/>
    <m/>
    <m/>
    <m/>
    <m/>
    <m/>
    <m/>
    <m/>
    <m/>
    <m/>
    <m/>
    <m/>
    <m/>
    <s v="BHX"/>
    <s v="MAR"/>
    <m/>
    <m/>
    <s v="S"/>
    <s v="38D8H"/>
    <n v="860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84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4"/>
    <x v="17"/>
    <x v="17"/>
    <x v="0"/>
    <x v="0"/>
    <x v="0"/>
    <m/>
    <m/>
    <m/>
    <m/>
    <m/>
    <m/>
  </r>
  <r>
    <s v="LW"/>
    <s v="LWE"/>
    <s v="LWT"/>
    <s v="LW"/>
    <s v="AX3"/>
    <s v="E"/>
    <s v="(BHX)-KRPUS-(AX3)-MXZLO-(MAR)"/>
    <s v="39D20H"/>
    <n v="2"/>
    <s v="DR"/>
    <s v="D"/>
    <s v="Y"/>
    <s v="Y"/>
    <x v="30"/>
    <s v="XINGANG, TIANJIN"/>
    <x v="19"/>
    <s v="XINGANG, TIANJIN"/>
    <x v="4"/>
    <s v="CORINTO"/>
    <s v="NICIO"/>
    <s v="CORINTO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8.05999999999995"/>
    <n v="804.03"/>
    <n v="788.41"/>
    <n v="858.13"/>
    <n v="0"/>
    <n v="0"/>
    <n v="548.05999999999995"/>
    <n v="804.03"/>
    <n v="788.41"/>
    <n v="858.13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NICIO"/>
    <n v="11.140996463"/>
    <n v="79.174122021000002"/>
    <n v="110.234152247"/>
    <n v="98.237629537999993"/>
    <n v="0"/>
    <n v="0"/>
    <n v="11.140996463"/>
    <n v="79.174122021000002"/>
    <n v="110.234152247"/>
    <n v="98.237629537999993"/>
    <n v="0"/>
    <n v="0"/>
    <m/>
    <m/>
    <m/>
    <m/>
    <m/>
    <m/>
    <n v="453.6"/>
    <n v="676.86"/>
    <n v="676.86"/>
    <n v="0"/>
    <n v="0"/>
    <n v="0"/>
    <m/>
    <m/>
    <m/>
    <m/>
    <m/>
    <m/>
    <m/>
    <m/>
    <m/>
    <m/>
    <m/>
    <m/>
    <s v="BHX"/>
    <s v="MAR"/>
    <m/>
    <m/>
    <s v="S"/>
    <s v="38D8H"/>
    <n v="860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56.334000000000003"/>
    <n v="65.813000000000002"/>
    <n v="65.162999999999997"/>
    <n v="64.233000000000004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19"/>
    <n v="19"/>
    <n v="19"/>
    <n v="19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84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4"/>
    <x v="4"/>
    <x v="4"/>
    <x v="4"/>
    <x v="17"/>
    <x v="17"/>
    <x v="0"/>
    <x v="0"/>
    <x v="0"/>
    <m/>
    <m/>
    <m/>
    <m/>
    <m/>
    <m/>
  </r>
  <r>
    <s v="LW"/>
    <s v="LWE"/>
    <s v="LWT"/>
    <s v="LW"/>
    <s v="AX2"/>
    <s v="E"/>
    <s v="(AX2)"/>
    <s v="38D3H"/>
    <n v="1"/>
    <s v="DR"/>
    <s v="D"/>
    <s v="Y"/>
    <s v="Y"/>
    <x v="17"/>
    <s v="NINGBO, ZHEJIANG"/>
    <x v="4"/>
    <s v="NINGBO, ZHEJIANG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3.51"/>
    <n v="444.76"/>
    <n v="425.4"/>
    <n v="597.12"/>
    <n v="0"/>
    <n v="0"/>
    <n v="333.51"/>
    <n v="444.76"/>
    <n v="425.4"/>
    <n v="597.12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2"/>
    <s v="AX2"/>
    <m/>
    <m/>
    <s v="S"/>
    <s v="36D15H"/>
    <n v="848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079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1)"/>
    <s v="41D22H"/>
    <n v="1"/>
    <s v="DR"/>
    <s v="D"/>
    <s v="Y"/>
    <s v="Y"/>
    <x v="17"/>
    <s v="NINGBO, ZHEJIANG"/>
    <x v="4"/>
    <s v="NINGBO, ZHEJIANG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9.11"/>
    <n v="453.08"/>
    <n v="433.28"/>
    <n v="610.04"/>
    <n v="0"/>
    <n v="0"/>
    <n v="339.11"/>
    <n v="453.08"/>
    <n v="433.28"/>
    <n v="610.04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1"/>
    <s v="AX1"/>
    <m/>
    <m/>
    <s v="S"/>
    <s v="40D10H"/>
    <n v="916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079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1)-KRPUS-(AX1)"/>
    <s v="48D22H"/>
    <n v="3"/>
    <s v="DR"/>
    <s v="D"/>
    <s v="Y"/>
    <s v="Y"/>
    <x v="17"/>
    <s v="NINGBO, ZHEJIANG"/>
    <x v="4"/>
    <s v="NINGBO, ZHEJIANG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2.57"/>
    <n v="614.64"/>
    <n v="594.07000000000005"/>
    <n v="779.65"/>
    <n v="0"/>
    <n v="0"/>
    <n v="452.57"/>
    <n v="614.64"/>
    <n v="594.07000000000005"/>
    <n v="779.65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1"/>
    <s v="AX1"/>
    <m/>
    <m/>
    <s v="T"/>
    <s v="47D10H"/>
    <n v="1084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079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2"/>
    <s v="E"/>
    <s v="(AX3)-KRPUS-(AX2)"/>
    <s v="55D8H"/>
    <n v="1"/>
    <s v="DR"/>
    <s v="D"/>
    <s v="Y"/>
    <s v="Y"/>
    <x v="21"/>
    <s v="QINGDAO, SHANDONG"/>
    <x v="18"/>
    <s v="QINGDAO, SHANDONG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7.4"/>
    <n v="655.43"/>
    <n v="642.07000000000005"/>
    <n v="846.4"/>
    <n v="0"/>
    <n v="0"/>
    <n v="527.4"/>
    <n v="655.43"/>
    <n v="642.07000000000005"/>
    <n v="846.4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AX3"/>
    <s v="AX2"/>
    <m/>
    <m/>
    <s v="S"/>
    <s v="53D20H"/>
    <n v="1207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23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"/>
    <s v="49D15H"/>
    <n v="2"/>
    <s v="DR"/>
    <s v="D"/>
    <s v="Y"/>
    <s v="Y"/>
    <x v="21"/>
    <s v="QINGDAO, SHANDONG"/>
    <x v="18"/>
    <s v="QINGDAO, SHANDONG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9.72"/>
    <n v="574.94000000000005"/>
    <n v="562.14"/>
    <n v="757.85"/>
    <n v="0"/>
    <n v="0"/>
    <n v="469.72"/>
    <n v="574.94000000000005"/>
    <n v="562.14"/>
    <n v="757.85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AX3"/>
    <s v="AX1"/>
    <m/>
    <m/>
    <s v="S"/>
    <s v="48D3H"/>
    <n v="1070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23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1"/>
    <s v="E"/>
    <s v="(MD1)-KRPUS-(AX1)"/>
    <s v="44D15H"/>
    <n v="2"/>
    <s v="DR"/>
    <s v="D"/>
    <s v="Y"/>
    <s v="Y"/>
    <x v="21"/>
    <s v="QINGDAO, SHANDONG"/>
    <x v="18"/>
    <s v="QINGDAO, SHANDONG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2.71"/>
    <n v="564.52"/>
    <n v="552.26"/>
    <n v="741.68"/>
    <n v="0"/>
    <n v="0"/>
    <n v="462.71"/>
    <n v="564.52"/>
    <n v="552.26"/>
    <n v="741.68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MD1"/>
    <s v="AX1"/>
    <m/>
    <m/>
    <s v="S"/>
    <s v="43D3H"/>
    <n v="975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23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2"/>
    <s v="E"/>
    <s v="(MD1)-KRPUS-(AX2)"/>
    <s v="43D8H"/>
    <n v="2"/>
    <s v="DR"/>
    <s v="D"/>
    <s v="Y"/>
    <s v="Y"/>
    <x v="21"/>
    <s v="QINGDAO, SHANDONG"/>
    <x v="18"/>
    <s v="QINGDAO, SHANDONG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0.58"/>
    <n v="630.44000000000005"/>
    <n v="618.41"/>
    <n v="807.62"/>
    <n v="0"/>
    <n v="0"/>
    <n v="510.58"/>
    <n v="630.44000000000005"/>
    <n v="618.41"/>
    <n v="807.62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MD1"/>
    <s v="AX2"/>
    <m/>
    <m/>
    <s v="S"/>
    <s v="41D20H"/>
    <n v="944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23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2"/>
    <s v="E"/>
    <s v="(AX2)"/>
    <s v="47D15H"/>
    <n v="1"/>
    <s v="DR"/>
    <s v="D"/>
    <s v="Y"/>
    <s v="Y"/>
    <x v="22"/>
    <s v="SHANGHAI, SHANGHAI"/>
    <x v="3"/>
    <s v="SHANGHAI, SHANGHAI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4.12"/>
    <n v="450.5"/>
    <n v="400.59"/>
    <n v="600.45000000000005"/>
    <n v="0"/>
    <n v="0"/>
    <n v="344.12"/>
    <n v="450.5"/>
    <n v="400.59"/>
    <n v="600.45000000000005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60.64"/>
    <n v="714.99"/>
    <n v="714.99"/>
    <n v="0"/>
    <n v="0"/>
    <n v="0"/>
    <m/>
    <m/>
    <m/>
    <m/>
    <m/>
    <m/>
    <m/>
    <m/>
    <m/>
    <m/>
    <m/>
    <m/>
    <s v="AX2"/>
    <s v="AX2"/>
    <m/>
    <m/>
    <s v="S"/>
    <s v="46D3H"/>
    <n v="1047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92960001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2D22H"/>
    <n v="1"/>
    <s v="DR"/>
    <s v="D"/>
    <s v="Y"/>
    <s v="Y"/>
    <x v="22"/>
    <s v="SHANGHAI, SHANGHAI"/>
    <x v="3"/>
    <s v="SHANGHAI, SHANGHAI"/>
    <x v="5"/>
    <s v="CORONEL"/>
    <s v="CLCNL"/>
    <s v="CORONE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7.12"/>
    <n v="440.1"/>
    <n v="390.74"/>
    <n v="584.29999999999995"/>
    <n v="0"/>
    <n v="0"/>
    <n v="337.12"/>
    <n v="440.1"/>
    <n v="390.74"/>
    <n v="584.29999999999995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CLCNL"/>
    <n v="-93.021293709000005"/>
    <n v="-140.194910574"/>
    <n v="-135.09920577"/>
    <n v="-27.575100788"/>
    <n v="0"/>
    <n v="0"/>
    <n v="-93.021293709000005"/>
    <n v="-140.194910574"/>
    <n v="-135.09920577"/>
    <n v="-27.575100788"/>
    <n v="0"/>
    <n v="0"/>
    <m/>
    <m/>
    <m/>
    <m/>
    <m/>
    <m/>
    <n v="460.64"/>
    <n v="714.99"/>
    <n v="714.99"/>
    <n v="0"/>
    <n v="0"/>
    <n v="0"/>
    <m/>
    <m/>
    <m/>
    <m/>
    <m/>
    <m/>
    <m/>
    <m/>
    <m/>
    <m/>
    <m/>
    <m/>
    <s v="AX1"/>
    <s v="AX1"/>
    <m/>
    <m/>
    <s v="S"/>
    <s v="41D11H"/>
    <n v="963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142.63800000000001"/>
    <n v="142.63800000000001"/>
    <n v="142.63800000000001"/>
    <n v="89.638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92960002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3"/>
    <s v="E"/>
    <s v="(TI1)-SGSIN-(CSW)-CNSHA-(AX3)"/>
    <s v="67D10H"/>
    <n v="2"/>
    <s v="DR"/>
    <s v="D"/>
    <s v="Y"/>
    <s v="Y"/>
    <x v="57"/>
    <s v="BANGKOK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7.08000000000004"/>
    <n v="736.89"/>
    <n v="725.02"/>
    <n v="522.09"/>
    <n v="0"/>
    <n v="0"/>
    <n v="567.08000000000004"/>
    <n v="736.89"/>
    <n v="725.02"/>
    <n v="522.09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s v="F"/>
    <m/>
    <s v="S"/>
    <s v="65D16H"/>
    <n v="1562"/>
    <s v="2018-09-29"/>
    <s v="Historical averaged cost."/>
    <n v="27.866769999999999"/>
    <n v="45.731259999999999"/>
    <n v="45.731259999999999"/>
    <n v="49.337040000000002"/>
    <n v="0"/>
    <n v="0"/>
    <n v="50.631169999999997"/>
    <n v="60.547060000000002"/>
    <n v="60.547060000000002"/>
    <n v="62.65043"/>
    <n v="0"/>
    <n v="0"/>
    <n v="25.4"/>
    <n v="25.4"/>
    <n v="25.4"/>
    <n v="1.8"/>
    <n v="0"/>
    <n v="0"/>
    <n v="0"/>
    <n v="0"/>
    <n v="0"/>
    <n v="0"/>
    <n v="0"/>
    <n v="0"/>
    <n v="279.99859658000003"/>
    <n v="337.59739728"/>
    <n v="338.28739727999999"/>
    <n v="277.3039625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57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TI1)-SGSIN-(CSW)-KRPUS-(AX3)"/>
    <s v="60D10H"/>
    <n v="1"/>
    <s v="DR"/>
    <s v="D"/>
    <s v="Y"/>
    <s v="Y"/>
    <x v="57"/>
    <s v="BANGKOK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9.66"/>
    <n v="764.61"/>
    <n v="752.05"/>
    <n v="612.41"/>
    <n v="0"/>
    <n v="0"/>
    <n v="589.66"/>
    <n v="764.61"/>
    <n v="752.05"/>
    <n v="612.41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s v="F"/>
    <m/>
    <s v="S"/>
    <s v="58D16H"/>
    <n v="1394"/>
    <s v="2018-09-29"/>
    <s v="Historical averaged cost."/>
    <n v="27.866769999999999"/>
    <n v="45.731259999999999"/>
    <n v="45.731259999999999"/>
    <n v="49.337040000000002"/>
    <n v="0"/>
    <n v="0"/>
    <n v="50.631169999999997"/>
    <n v="60.547060000000002"/>
    <n v="60.547060000000002"/>
    <n v="62.65043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57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TI1)-SGSIN-(MD2)-KRPUS-(AX3)"/>
    <s v="60D10H"/>
    <n v="2"/>
    <s v="DR"/>
    <s v="D"/>
    <s v="Y"/>
    <s v="Y"/>
    <x v="57"/>
    <s v="BANGKOK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98"/>
    <n v="694.53"/>
    <n v="681.96"/>
    <n v="540.01"/>
    <n v="0"/>
    <n v="0"/>
    <n v="538.98"/>
    <n v="694.53"/>
    <n v="681.96"/>
    <n v="540.01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s v="F"/>
    <m/>
    <s v="S"/>
    <s v="58D16H"/>
    <n v="1394"/>
    <s v="2018-09-29"/>
    <s v="Historical averaged cost."/>
    <n v="27.866769999999999"/>
    <n v="45.731259999999999"/>
    <n v="45.731259999999999"/>
    <n v="49.337040000000002"/>
    <n v="0"/>
    <n v="0"/>
    <n v="50.631169999999997"/>
    <n v="60.547060000000002"/>
    <n v="60.547060000000002"/>
    <n v="62.65043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57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PN2)-TWKHH-(MD3)-KRPUS-(AX3)"/>
    <s v="52D8H"/>
    <n v="1"/>
    <s v="DR"/>
    <s v="D"/>
    <s v="Y"/>
    <s v="Y"/>
    <x v="57"/>
    <s v="BANGKOK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6.26"/>
    <n v="775.2"/>
    <n v="756.91"/>
    <n v="682.87"/>
    <n v="0"/>
    <n v="0"/>
    <n v="566.26"/>
    <n v="775.2"/>
    <n v="756.91"/>
    <n v="682.87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PN2"/>
    <s v="AX3"/>
    <s v="F"/>
    <m/>
    <s v="S"/>
    <s v="50D14H"/>
    <n v="1182"/>
    <s v="2018-09-29"/>
    <s v="Historical averaged cost."/>
    <n v="34.885480000000001"/>
    <n v="57.674869999999999"/>
    <n v="57.674869999999999"/>
    <n v="63.660469999999997"/>
    <n v="0"/>
    <n v="0"/>
    <n v="50.631169999999997"/>
    <n v="60.547060000000002"/>
    <n v="60.547060000000002"/>
    <n v="62.65043"/>
    <n v="0"/>
    <n v="0"/>
    <n v="25.4"/>
    <n v="25.4"/>
    <n v="25.4"/>
    <n v="1.8"/>
    <n v="0"/>
    <n v="0"/>
    <n v="0"/>
    <n v="0"/>
    <n v="0"/>
    <n v="0"/>
    <n v="0"/>
    <n v="0"/>
    <n v="199.36200199999999"/>
    <n v="255.80025459999999"/>
    <n v="255.80025459999999"/>
    <n v="255.8002545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57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TI1)-SGSIN-(AGX)-KRPUS-(AX3)"/>
    <s v="60D10H"/>
    <n v="1"/>
    <s v="DR"/>
    <s v="D"/>
    <s v="Y"/>
    <s v="Y"/>
    <x v="57"/>
    <s v="BANGKOK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98"/>
    <n v="694.53"/>
    <n v="681.96"/>
    <n v="540.01"/>
    <n v="0"/>
    <n v="0"/>
    <n v="538.98"/>
    <n v="694.53"/>
    <n v="681.96"/>
    <n v="540.01"/>
    <n v="0"/>
    <n v="0"/>
    <s v="THBKK"/>
    <n v="173.26036332000001"/>
    <n v="261.35005832799999"/>
    <n v="241.65725737099999"/>
    <n v="129.27000000000001"/>
    <n v="0"/>
    <n v="0"/>
    <n v="173.26036332000001"/>
    <n v="261.35005832799999"/>
    <n v="241.65725737099999"/>
    <n v="129.2700000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s v="F"/>
    <m/>
    <s v="S"/>
    <s v="58D16H"/>
    <n v="1394"/>
    <s v="2018-09-29"/>
    <s v="Historical averaged cost."/>
    <n v="27.866769999999999"/>
    <n v="45.731259999999999"/>
    <n v="45.731259999999999"/>
    <n v="49.337040000000002"/>
    <n v="0"/>
    <n v="0"/>
    <n v="50.631169999999997"/>
    <n v="60.547060000000002"/>
    <n v="60.547060000000002"/>
    <n v="62.65043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7570003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NX2)-KRPUS-(AX3)"/>
    <s v="45D9H"/>
    <n v="1"/>
    <s v="DR"/>
    <s v="D"/>
    <s v="Y"/>
    <s v="Y"/>
    <x v="58"/>
    <s v="BEIJIAO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7.76"/>
    <n v="404.77"/>
    <n v="767.33"/>
    <n v="710.47"/>
    <n v="0"/>
    <n v="0"/>
    <n v="577.76"/>
    <n v="404.77"/>
    <n v="767.33"/>
    <n v="710.47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16H"/>
    <n v="975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23H"/>
    <n v="1"/>
    <s v="DR"/>
    <s v="D"/>
    <s v="Y"/>
    <s v="Y"/>
    <x v="58"/>
    <s v="BEIJIAO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4.55999999999995"/>
    <n v="429.73"/>
    <n v="790.97"/>
    <n v="749.23"/>
    <n v="0"/>
    <n v="0"/>
    <n v="594.55999999999995"/>
    <n v="429.73"/>
    <n v="790.97"/>
    <n v="749.23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5D5H"/>
    <n v="1098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6D5H"/>
    <n v="1"/>
    <s v="DR"/>
    <s v="D"/>
    <s v="Y"/>
    <s v="Y"/>
    <x v="58"/>
    <s v="BEIJIAO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0.58000000000004"/>
    <n v="390.01"/>
    <n v="752.46"/>
    <n v="673.06"/>
    <n v="0"/>
    <n v="0"/>
    <n v="630.58000000000004"/>
    <n v="390.01"/>
    <n v="752.46"/>
    <n v="673.06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4D12H"/>
    <n v="949"/>
    <s v="2018-09-29"/>
    <s v="Historical averaged cost."/>
    <n v="111.87472"/>
    <n v="167.13449"/>
    <n v="167.13449"/>
    <n v="184.10584"/>
    <n v="0"/>
    <n v="0"/>
    <n v="33.890009999999997"/>
    <n v="55.294229999999999"/>
    <n v="55.294229999999999"/>
    <n v="65.359309999999994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15H"/>
    <n v="1"/>
    <s v="DR"/>
    <s v="D"/>
    <s v="Y"/>
    <s v="Y"/>
    <x v="58"/>
    <s v="BEIJIAO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7.04"/>
    <n v="472.78"/>
    <n v="835.45"/>
    <n v="779.64"/>
    <n v="0"/>
    <n v="0"/>
    <n v="627.04"/>
    <n v="472.78"/>
    <n v="835.45"/>
    <n v="779.64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21H"/>
    <n v="932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9D8H"/>
    <n v="1"/>
    <s v="DR"/>
    <s v="D"/>
    <s v="Y"/>
    <s v="Y"/>
    <x v="58"/>
    <s v="BEIJIAO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0.11"/>
    <n v="391.11"/>
    <n v="753.23"/>
    <n v="696.64"/>
    <n v="0"/>
    <n v="0"/>
    <n v="600.11"/>
    <n v="391.11"/>
    <n v="753.23"/>
    <n v="696.64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7D15H"/>
    <n v="1008"/>
    <s v="2018-09-29"/>
    <s v="Historical averaged cost."/>
    <n v="89.532589999999999"/>
    <n v="133.29938999999999"/>
    <n v="133.29938999999999"/>
    <n v="163.43816000000001"/>
    <n v="0"/>
    <n v="0"/>
    <n v="96.828609999999998"/>
    <n v="159.25756999999999"/>
    <n v="159.25756999999999"/>
    <n v="175.18333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23H"/>
    <n v="2"/>
    <s v="DR"/>
    <s v="D"/>
    <s v="Y"/>
    <s v="Y"/>
    <x v="58"/>
    <s v="BEIJIAO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3.72"/>
    <n v="389.44"/>
    <n v="751.67"/>
    <n v="698.59"/>
    <n v="0"/>
    <n v="0"/>
    <n v="603.72"/>
    <n v="389.44"/>
    <n v="751.67"/>
    <n v="698.59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5H"/>
    <n v="1019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6D5H"/>
    <n v="3"/>
    <s v="DR"/>
    <s v="D"/>
    <s v="Y"/>
    <s v="Y"/>
    <x v="58"/>
    <s v="BEIJIAO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2.57"/>
    <n v="534.72"/>
    <n v="897.16"/>
    <n v="822.39"/>
    <n v="0"/>
    <n v="0"/>
    <n v="732.57"/>
    <n v="534.72"/>
    <n v="897.16"/>
    <n v="822.39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4D12H"/>
    <n v="949"/>
    <s v="2018-09-29"/>
    <s v="Historical averaged cost."/>
    <n v="111.87472"/>
    <n v="167.13449"/>
    <n v="167.13449"/>
    <n v="184.10584"/>
    <n v="0"/>
    <n v="0"/>
    <n v="33.890009999999997"/>
    <n v="55.294229999999999"/>
    <n v="55.294229999999999"/>
    <n v="65.359309999999994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20H"/>
    <n v="1"/>
    <s v="DR"/>
    <s v="D"/>
    <s v="Y"/>
    <s v="Y"/>
    <x v="58"/>
    <s v="BEIJIAO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5.69000000000005"/>
    <n v="502.8"/>
    <n v="864.26"/>
    <n v="827.87"/>
    <n v="0"/>
    <n v="0"/>
    <n v="645.69000000000005"/>
    <n v="502.8"/>
    <n v="864.26"/>
    <n v="827.87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3D3H"/>
    <n v="1068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15H"/>
    <n v="2"/>
    <s v="DR"/>
    <s v="D"/>
    <s v="Y"/>
    <s v="Y"/>
    <x v="58"/>
    <s v="BEIJIAO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6.84"/>
    <n v="487.34"/>
    <n v="849.24"/>
    <n v="802.25"/>
    <n v="0"/>
    <n v="0"/>
    <n v="636.84"/>
    <n v="487.34"/>
    <n v="849.24"/>
    <n v="802.25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21H"/>
    <n v="1085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3D5H"/>
    <n v="1"/>
    <s v="DR"/>
    <s v="D"/>
    <s v="Y"/>
    <s v="Y"/>
    <x v="58"/>
    <s v="BEIJIAO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4.03"/>
    <n v="420.96"/>
    <n v="782.64"/>
    <n v="714.37"/>
    <n v="0"/>
    <n v="0"/>
    <n v="594.03"/>
    <n v="420.96"/>
    <n v="782.64"/>
    <n v="714.37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1D12H"/>
    <n v="1117"/>
    <s v="2018-09-29"/>
    <s v="Historical averaged cost."/>
    <n v="111.87472"/>
    <n v="167.13449"/>
    <n v="167.13449"/>
    <n v="184.10584"/>
    <n v="0"/>
    <n v="0"/>
    <n v="33.890009999999997"/>
    <n v="55.294229999999999"/>
    <n v="55.294229999999999"/>
    <n v="65.359309999999994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23H"/>
    <n v="2"/>
    <s v="DR"/>
    <s v="D"/>
    <s v="Y"/>
    <s v="Y"/>
    <x v="58"/>
    <s v="BEIJIAO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1.96"/>
    <n v="411.01"/>
    <n v="773.24"/>
    <n v="720.16"/>
    <n v="0"/>
    <n v="0"/>
    <n v="581.96"/>
    <n v="411.01"/>
    <n v="773.24"/>
    <n v="720.16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5H"/>
    <n v="1019"/>
    <s v="2018-09-29"/>
    <s v="Historical averaged cost."/>
    <n v="153.66703000000001"/>
    <n v="231.55654000000001"/>
    <n v="231.55654000000001"/>
    <n v="271.17982999999998"/>
    <n v="0"/>
    <n v="0"/>
    <n v="37.71219"/>
    <n v="61.40972"/>
    <n v="61.40972"/>
    <n v="72.621449999999996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9D8H"/>
    <n v="2"/>
    <s v="DR"/>
    <s v="D"/>
    <s v="Y"/>
    <s v="Y"/>
    <x v="58"/>
    <s v="BEIJIAO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8.34"/>
    <n v="412.68"/>
    <n v="774.8"/>
    <n v="718.21"/>
    <n v="0"/>
    <n v="0"/>
    <n v="578.34"/>
    <n v="412.68"/>
    <n v="774.8"/>
    <n v="718.21"/>
    <n v="0"/>
    <n v="0"/>
    <s v="CNYQS"/>
    <n v="184.39156739800001"/>
    <n v="-160.459851552"/>
    <n v="199.92129077300001"/>
    <n v="70.791379277000004"/>
    <n v="0"/>
    <n v="0"/>
    <n v="184.39156739800001"/>
    <n v="-160.459851552"/>
    <n v="199.92129077300001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7D15H"/>
    <n v="1008"/>
    <s v="2018-09-29"/>
    <s v="Historical averaged cost."/>
    <n v="89.532589999999999"/>
    <n v="133.29938999999999"/>
    <n v="133.29938999999999"/>
    <n v="163.43816000000001"/>
    <n v="0"/>
    <n v="0"/>
    <n v="96.828609999999998"/>
    <n v="159.25756999999999"/>
    <n v="159.25756999999999"/>
    <n v="175.18333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543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3)"/>
    <s v="49D0H"/>
    <n v="1"/>
    <s v="DR"/>
    <s v="D"/>
    <s v="Y"/>
    <s v="Y"/>
    <x v="32"/>
    <s v="CHANGZHOU, JIANGSU"/>
    <x v="3"/>
    <s v="SHANGHAI, SHANGH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62"/>
    <n v="836.06"/>
    <n v="906.03"/>
    <n v="737.84"/>
    <n v="0"/>
    <n v="0"/>
    <n v="613.62"/>
    <n v="836.06"/>
    <n v="906.03"/>
    <n v="737.84"/>
    <n v="0"/>
    <n v="0"/>
    <s v="CNCZX"/>
    <n v="245.55476151299999"/>
    <n v="268.76370850199999"/>
    <n v="336.99263933999998"/>
    <n v="31.607571027999999"/>
    <n v="0"/>
    <n v="0"/>
    <n v="245.55476151299999"/>
    <n v="268.76370850199999"/>
    <n v="336.99263933999998"/>
    <n v="31.607571027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3"/>
    <s v="AX3"/>
    <s v="F"/>
    <m/>
    <s v="S"/>
    <s v="47D7H"/>
    <n v="963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82176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3"/>
    <s v="E"/>
    <s v="(TE1)-MYPKG-(AGX)-KRPUS-(AX3)"/>
    <s v="65D6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25.38"/>
    <n v="447.34"/>
    <n v="389.16"/>
    <n v="4336.59"/>
    <n v="0"/>
    <n v="0"/>
    <n v="225.38"/>
    <n v="447.34"/>
    <n v="389.16"/>
    <n v="4336.59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1"/>
    <s v="AX3"/>
    <m/>
    <m/>
    <s v="S"/>
    <s v="63D18H"/>
    <n v="14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85.95184814999999"/>
    <n v="270.18417596"/>
    <n v="270.18417596"/>
    <n v="287.35572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CSW)-KRPUS-(AX3)"/>
    <s v="60D15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2.01"/>
    <n v="542.47"/>
    <n v="484.29"/>
    <n v="4416.87"/>
    <n v="0"/>
    <n v="0"/>
    <n v="342.01"/>
    <n v="542.47"/>
    <n v="484.29"/>
    <n v="4416.8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2"/>
    <s v="AX3"/>
    <m/>
    <m/>
    <s v="S"/>
    <s v="59D3H"/>
    <n v="13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AGX)-KRPUS-(AX3)"/>
    <s v="60D15H"/>
    <n v="2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91.33"/>
    <n v="472.39"/>
    <n v="414.2"/>
    <n v="4344.47"/>
    <n v="0"/>
    <n v="0"/>
    <n v="291.33"/>
    <n v="472.39"/>
    <n v="414.2"/>
    <n v="4344.4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2"/>
    <s v="AX3"/>
    <m/>
    <m/>
    <s v="S"/>
    <s v="59D3H"/>
    <n v="13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NX2)-KRPUS-(AX3)"/>
    <s v="58D6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2.53"/>
    <n v="593.03"/>
    <n v="528.46"/>
    <n v="4531.8100000000004"/>
    <n v="0"/>
    <n v="0"/>
    <n v="372.53"/>
    <n v="593.03"/>
    <n v="528.46"/>
    <n v="4531.81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1"/>
    <s v="AX3"/>
    <m/>
    <m/>
    <s v="S"/>
    <s v="56D18H"/>
    <n v="1314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3)-KRPUS-(AX3)"/>
    <s v="58D6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2.53"/>
    <n v="593.03"/>
    <n v="528.46"/>
    <n v="4531.8100000000004"/>
    <n v="0"/>
    <n v="0"/>
    <n v="372.53"/>
    <n v="593.03"/>
    <n v="528.46"/>
    <n v="4531.81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1"/>
    <s v="AX3"/>
    <m/>
    <m/>
    <s v="S"/>
    <s v="56D18H"/>
    <n v="1314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MD2)-KRPUS-(AX3)"/>
    <s v="58D6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2.53"/>
    <n v="593.03"/>
    <n v="528.46"/>
    <n v="4531.8100000000004"/>
    <n v="0"/>
    <n v="0"/>
    <n v="372.53"/>
    <n v="593.03"/>
    <n v="528.46"/>
    <n v="4531.8100000000004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1"/>
    <s v="AX3"/>
    <m/>
    <m/>
    <s v="S"/>
    <s v="56D18H"/>
    <n v="1314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CSW)-KRPUS-(AX3)"/>
    <s v="65D6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2.01"/>
    <n v="542.47"/>
    <n v="484.29"/>
    <n v="4416.87"/>
    <n v="0"/>
    <n v="0"/>
    <n v="342.01"/>
    <n v="542.47"/>
    <n v="484.29"/>
    <n v="4416.8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1"/>
    <s v="AX3"/>
    <m/>
    <m/>
    <s v="S"/>
    <s v="63D18H"/>
    <n v="14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1)-MYPKG-(NX2)-KRPUS-(AX3)"/>
    <s v="58D6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06.58"/>
    <n v="567.98"/>
    <n v="503.42"/>
    <n v="4523.93"/>
    <n v="0"/>
    <n v="0"/>
    <n v="306.58"/>
    <n v="567.98"/>
    <n v="503.42"/>
    <n v="4523.93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1"/>
    <s v="AX3"/>
    <m/>
    <m/>
    <s v="S"/>
    <s v="56D18H"/>
    <n v="1314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85.95184814999999"/>
    <n v="270.18417596"/>
    <n v="270.18417596"/>
    <n v="287.35572686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1)-SGSIN-(AGX)-KRPUS-(AX3)"/>
    <s v="65D6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91.33"/>
    <n v="472.39"/>
    <n v="414.2"/>
    <n v="4344.47"/>
    <n v="0"/>
    <n v="0"/>
    <n v="291.33"/>
    <n v="472.39"/>
    <n v="414.2"/>
    <n v="4344.4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1"/>
    <s v="AX3"/>
    <m/>
    <m/>
    <s v="S"/>
    <s v="63D18H"/>
    <n v="14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NX2)-KRPUS-(AX3)"/>
    <s v="60D15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91.33"/>
    <n v="472.39"/>
    <n v="414.2"/>
    <n v="4344.47"/>
    <n v="0"/>
    <n v="0"/>
    <n v="291.33"/>
    <n v="472.39"/>
    <n v="414.2"/>
    <n v="4344.4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2"/>
    <s v="AX3"/>
    <m/>
    <m/>
    <s v="S"/>
    <s v="59D3H"/>
    <n v="13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3)-KRPUS-(AX3)"/>
    <s v="60D15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91.33"/>
    <n v="472.39"/>
    <n v="414.2"/>
    <n v="4344.47"/>
    <n v="0"/>
    <n v="0"/>
    <n v="291.33"/>
    <n v="472.39"/>
    <n v="414.2"/>
    <n v="4344.4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2"/>
    <s v="AX3"/>
    <m/>
    <m/>
    <s v="S"/>
    <s v="59D3H"/>
    <n v="13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TE2)-SGSIN-(MD2)-KRPUS-(AX3)"/>
    <s v="60D15H"/>
    <n v="1"/>
    <s v="DR"/>
    <s v="D"/>
    <s v="Y"/>
    <s v="Y"/>
    <x v="33"/>
    <s v="CHENNAI"/>
    <x v="1"/>
    <s v="CHENN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91.33"/>
    <n v="472.39"/>
    <n v="414.2"/>
    <n v="4344.47"/>
    <n v="0"/>
    <n v="0"/>
    <n v="291.33"/>
    <n v="472.39"/>
    <n v="414.2"/>
    <n v="4344.47"/>
    <n v="0"/>
    <n v="0"/>
    <s v="INMAA"/>
    <n v="-47.87"/>
    <n v="67.537058129000002"/>
    <n v="2.2293564950000002"/>
    <n v="4015.506020588"/>
    <n v="0"/>
    <n v="0"/>
    <n v="-47.87"/>
    <n v="67.537058129000002"/>
    <n v="2.2293564950000002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3.53"/>
    <n v="666.13"/>
    <n v="666.13"/>
    <n v="0"/>
    <n v="0"/>
    <n v="0"/>
    <m/>
    <m/>
    <m/>
    <m/>
    <m/>
    <m/>
    <m/>
    <m/>
    <m/>
    <m/>
    <m/>
    <m/>
    <s v="TE2"/>
    <s v="AX3"/>
    <m/>
    <m/>
    <s v="S"/>
    <s v="59D3H"/>
    <n v="1382"/>
    <s v="2018-09-29"/>
    <s v="Historical averaged cost."/>
    <n v="51.977510000000002"/>
    <n v="77.950249999999997"/>
    <n v="77.950249999999997"/>
    <n v="30.2049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9472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9"/>
    <x v="18"/>
    <x v="18"/>
    <x v="0"/>
    <x v="0"/>
    <x v="0"/>
    <m/>
    <m/>
    <m/>
    <m/>
    <m/>
    <m/>
  </r>
  <r>
    <s v="LW"/>
    <s v="LWE"/>
    <s v="LWT"/>
    <s v="LW"/>
    <s v="AX3"/>
    <s v="E"/>
    <s v="(FE5)-SGSIN-(MD3)-KRPUS-(AX3)"/>
    <s v="59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6.49"/>
    <n v="742.31"/>
    <n v="770.16"/>
    <n v="1162.05"/>
    <n v="0"/>
    <n v="0"/>
    <n v="436.49"/>
    <n v="742.31"/>
    <n v="770.16"/>
    <n v="1162.0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FE5"/>
    <s v="AX3"/>
    <m/>
    <m/>
    <s v="S"/>
    <s v="58D9H"/>
    <n v="1364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NCI)-SGSIN-(MD2)-KRPUS-(AX3)"/>
    <s v="64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4.14"/>
    <n v="647.76"/>
    <n v="682.21"/>
    <n v="1000.5"/>
    <n v="0"/>
    <n v="0"/>
    <n v="374.14"/>
    <n v="647.76"/>
    <n v="682.21"/>
    <n v="1000.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NCI"/>
    <s v="AX3"/>
    <m/>
    <m/>
    <s v="S"/>
    <s v="63D9H"/>
    <n v="1476"/>
    <s v="2018-09-29"/>
    <s v="Historical averaged cost."/>
    <n v="165.93799999999999"/>
    <n v="248.893"/>
    <n v="248.893"/>
    <n v="301.892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NCI)-SGSIN-(CSW)-KRPUS-(AX3)"/>
    <s v="64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4.82"/>
    <n v="717.84"/>
    <n v="752.29"/>
    <n v="1072.9000000000001"/>
    <n v="0"/>
    <n v="0"/>
    <n v="424.82"/>
    <n v="717.84"/>
    <n v="752.29"/>
    <n v="1072.9000000000001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NCI"/>
    <s v="AX3"/>
    <m/>
    <m/>
    <s v="S"/>
    <s v="63D9H"/>
    <n v="1476"/>
    <s v="2018-09-29"/>
    <s v="Historical averaged cost."/>
    <n v="165.93799999999999"/>
    <n v="248.893"/>
    <n v="248.893"/>
    <n v="301.892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NCI)-SGSIN-(AR1)-KRPUS-(AX3)"/>
    <s v="57D21H"/>
    <n v="2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5.34"/>
    <n v="768.4"/>
    <n v="796.47"/>
    <n v="1187.8399999999999"/>
    <n v="0"/>
    <n v="0"/>
    <n v="455.34"/>
    <n v="768.4"/>
    <n v="796.47"/>
    <n v="1187.83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NCI"/>
    <s v="AX3"/>
    <m/>
    <m/>
    <s v="S"/>
    <s v="56D9H"/>
    <n v="1308"/>
    <s v="2018-09-29"/>
    <s v="Historical averaged cost."/>
    <n v="165.93799999999999"/>
    <n v="248.893"/>
    <n v="248.893"/>
    <n v="301.892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NCI)-SGSIN-(AGX)-KRPUS-(AX3)"/>
    <s v="64D21H"/>
    <n v="2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4.14"/>
    <n v="647.76"/>
    <n v="682.21"/>
    <n v="1000.5"/>
    <n v="0"/>
    <n v="0"/>
    <n v="374.14"/>
    <n v="647.76"/>
    <n v="682.21"/>
    <n v="1000.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NCI"/>
    <s v="AX3"/>
    <m/>
    <m/>
    <s v="S"/>
    <s v="63D9H"/>
    <n v="1476"/>
    <s v="2018-09-29"/>
    <s v="Historical averaged cost."/>
    <n v="165.93799999999999"/>
    <n v="248.893"/>
    <n v="248.893"/>
    <n v="301.892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PS3)-SGSIN-(AGX)-KRPUS-(AX3)"/>
    <s v="64D21H"/>
    <n v="2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1.42"/>
    <n v="615.70000000000005"/>
    <n v="650.15"/>
    <n v="966.44"/>
    <n v="0"/>
    <n v="0"/>
    <n v="351.42"/>
    <n v="615.70000000000005"/>
    <n v="650.15"/>
    <n v="966.44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PS3"/>
    <s v="AX3"/>
    <m/>
    <m/>
    <s v="S"/>
    <s v="63D10H"/>
    <n v="1479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FE5)-SGSIN-(NX2)-KRPUS-(AX3)"/>
    <s v="59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6.49"/>
    <n v="742.31"/>
    <n v="770.16"/>
    <n v="1162.05"/>
    <n v="0"/>
    <n v="0"/>
    <n v="436.49"/>
    <n v="742.31"/>
    <n v="770.16"/>
    <n v="1162.0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FE5"/>
    <s v="AX3"/>
    <m/>
    <m/>
    <s v="S"/>
    <s v="58D9H"/>
    <n v="1364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FE5)-SGSIN-(MD2)-KRPUS-(AX3)"/>
    <s v="59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6.49"/>
    <n v="742.31"/>
    <n v="770.16"/>
    <n v="1162.05"/>
    <n v="0"/>
    <n v="0"/>
    <n v="436.49"/>
    <n v="742.31"/>
    <n v="770.16"/>
    <n v="1162.0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FE5"/>
    <s v="AX3"/>
    <m/>
    <m/>
    <s v="S"/>
    <s v="58D9H"/>
    <n v="1364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FE5)-SGSIN-(MD1)-KRPUS-(AX3)"/>
    <s v="59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6.49"/>
    <n v="742.31"/>
    <n v="770.16"/>
    <n v="1162.05"/>
    <n v="0"/>
    <n v="0"/>
    <n v="436.49"/>
    <n v="742.31"/>
    <n v="770.16"/>
    <n v="1162.0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FE5"/>
    <s v="AX3"/>
    <m/>
    <m/>
    <s v="S"/>
    <s v="58D9H"/>
    <n v="1364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FE5)-SGSIN-(CSW)-KRPUS-(AX3)"/>
    <s v="52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7.36"/>
    <n v="797.84"/>
    <n v="826.46"/>
    <n v="1211.8399999999999"/>
    <n v="0"/>
    <n v="0"/>
    <n v="477.36"/>
    <n v="797.84"/>
    <n v="826.46"/>
    <n v="1211.83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FE5"/>
    <s v="AX3"/>
    <m/>
    <m/>
    <s v="S"/>
    <s v="51D9H"/>
    <n v="1196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TIP)-SGSIN-(AGX)-KRPUS-(AX3)"/>
    <s v="66D21H"/>
    <n v="2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1.42"/>
    <n v="615.70000000000005"/>
    <n v="650.15"/>
    <n v="966.44"/>
    <n v="0"/>
    <n v="0"/>
    <n v="351.42"/>
    <n v="615.70000000000005"/>
    <n v="650.15"/>
    <n v="966.44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TIP"/>
    <s v="AX3"/>
    <m/>
    <m/>
    <s v="S"/>
    <s v="65D10H"/>
    <n v="1531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FE5)-SGSIN-(AR1)-KRPUS-(AX3)"/>
    <s v="59D21H"/>
    <n v="2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6.49"/>
    <n v="742.31"/>
    <n v="770.16"/>
    <n v="1162.05"/>
    <n v="0"/>
    <n v="0"/>
    <n v="436.49"/>
    <n v="742.31"/>
    <n v="770.16"/>
    <n v="1162.0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FE5"/>
    <s v="AX3"/>
    <m/>
    <m/>
    <s v="S"/>
    <s v="58D9H"/>
    <n v="1364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FE5)-SGSIN-(AGX)-KRPUS-(AX3)"/>
    <s v="66D21H"/>
    <n v="2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2.49"/>
    <n v="617.51"/>
    <n v="651.96"/>
    <n v="968.25"/>
    <n v="0"/>
    <n v="0"/>
    <n v="352.49"/>
    <n v="617.51"/>
    <n v="651.96"/>
    <n v="968.25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FE5"/>
    <s v="AX3"/>
    <m/>
    <m/>
    <s v="S"/>
    <s v="65D9H"/>
    <n v="1532"/>
    <s v="2018-09-29"/>
    <s v="Historical averaged cost."/>
    <n v="144.28700000000001"/>
    <n v="218.64500000000001"/>
    <n v="218.64500000000001"/>
    <n v="269.64499999999998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PS3)-SGSIN-(MD2)-KRPUS-(AX3)"/>
    <s v="57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2.62"/>
    <n v="736.34"/>
    <n v="764.41"/>
    <n v="1153.78"/>
    <n v="0"/>
    <n v="0"/>
    <n v="432.62"/>
    <n v="736.34"/>
    <n v="764.41"/>
    <n v="1153.78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PS3"/>
    <s v="AX3"/>
    <m/>
    <m/>
    <s v="S"/>
    <s v="56D10H"/>
    <n v="1311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10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PS3)-SGSIN-(CSW)-KRPUS-(AX3)"/>
    <s v="64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2.1"/>
    <n v="685.79"/>
    <n v="720.24"/>
    <n v="1038.8399999999999"/>
    <n v="0"/>
    <n v="0"/>
    <n v="402.1"/>
    <n v="685.79"/>
    <n v="720.24"/>
    <n v="1038.83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PS3"/>
    <s v="AX3"/>
    <m/>
    <m/>
    <s v="S"/>
    <s v="63D10H"/>
    <n v="1479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8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PS3)-SGSIN-(MD3)-KRPUS-(AX3)"/>
    <s v="57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2.62"/>
    <n v="736.34"/>
    <n v="764.41"/>
    <n v="1153.78"/>
    <n v="0"/>
    <n v="0"/>
    <n v="432.62"/>
    <n v="736.34"/>
    <n v="764.41"/>
    <n v="1153.78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PS3"/>
    <s v="AX3"/>
    <m/>
    <m/>
    <s v="S"/>
    <s v="56D10H"/>
    <n v="1311"/>
    <s v="2018-09-29"/>
    <s v="Historical averaged cost."/>
    <n v="143.22499999999999"/>
    <n v="216.83799999999999"/>
    <n v="216.83799999999999"/>
    <n v="267.83800000000002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9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NCI)-SGSIN-(MD3)-KRPUS-(AX3)"/>
    <s v="57D21H"/>
    <n v="1"/>
    <s v="DR"/>
    <s v="D"/>
    <s v="Y"/>
    <s v="Y"/>
    <x v="34"/>
    <s v="COLOMBO"/>
    <x v="20"/>
    <s v="COLOMBO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5.34"/>
    <n v="768.4"/>
    <n v="796.47"/>
    <n v="1187.8399999999999"/>
    <n v="0"/>
    <n v="0"/>
    <n v="455.34"/>
    <n v="768.4"/>
    <n v="796.47"/>
    <n v="1187.8399999999999"/>
    <n v="0"/>
    <n v="0"/>
    <s v="LKCMB"/>
    <n v="-79.023142683000003"/>
    <n v="71.966963039999996"/>
    <n v="99.290013096999999"/>
    <n v="399.84800169499999"/>
    <n v="0"/>
    <n v="0"/>
    <n v="-79.023142683000003"/>
    <n v="71.966963039999996"/>
    <n v="99.290013096999999"/>
    <n v="399.848001694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347"/>
    <n v="529"/>
    <n v="529"/>
    <n v="0"/>
    <n v="0"/>
    <n v="0"/>
    <m/>
    <m/>
    <m/>
    <m/>
    <m/>
    <m/>
    <m/>
    <m/>
    <m/>
    <m/>
    <m/>
    <m/>
    <s v="NCI"/>
    <s v="AX3"/>
    <m/>
    <m/>
    <s v="S"/>
    <s v="56D9H"/>
    <n v="1308"/>
    <s v="2018-09-29"/>
    <s v="Historical averaged cost."/>
    <n v="165.93799999999999"/>
    <n v="248.893"/>
    <n v="248.893"/>
    <n v="301.892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527000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0"/>
    <x v="0"/>
    <x v="0"/>
    <x v="0"/>
    <x v="0"/>
    <x v="0"/>
    <x v="0"/>
    <x v="0"/>
    <x v="0"/>
    <m/>
    <m/>
    <m/>
    <m/>
    <m/>
    <m/>
  </r>
  <r>
    <s v="LW"/>
    <s v="LWE"/>
    <s v="LWT"/>
    <s v="LW"/>
    <s v="AX3"/>
    <s v="E"/>
    <s v="(BF2)-KRPUS-(AX3)"/>
    <s v="44D18H"/>
    <n v="1"/>
    <s v="DR"/>
    <s v="D"/>
    <s v="Y"/>
    <s v="Y"/>
    <x v="35"/>
    <s v="DALIAN, LIAONING"/>
    <x v="21"/>
    <s v="DALIAN, LIAONI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1.02"/>
    <n v="689.35"/>
    <n v="702.56"/>
    <n v="754.92"/>
    <n v="0"/>
    <n v="0"/>
    <n v="551.02"/>
    <n v="689.35"/>
    <n v="702.56"/>
    <n v="754.92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7.11"/>
    <n v="723.73"/>
    <n v="723.73"/>
    <n v="0"/>
    <n v="0"/>
    <n v="0"/>
    <m/>
    <m/>
    <m/>
    <m/>
    <m/>
    <m/>
    <m/>
    <m/>
    <m/>
    <m/>
    <m/>
    <m/>
    <s v="BF2"/>
    <s v="AX3"/>
    <m/>
    <m/>
    <s v="S"/>
    <s v="43D6H"/>
    <n v="1001"/>
    <s v="2018-09-29"/>
    <s v="Historical averaged cost."/>
    <n v="77.800399999999996"/>
    <n v="118.16415000000001"/>
    <n v="118.16415000000001"/>
    <n v="172.66265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20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7"/>
    <x v="19"/>
    <x v="19"/>
    <x v="0"/>
    <x v="0"/>
    <x v="0"/>
    <m/>
    <m/>
    <m/>
    <m/>
    <m/>
    <m/>
  </r>
  <r>
    <s v="LW"/>
    <s v="LWE"/>
    <s v="LWT"/>
    <s v="LW"/>
    <s v="AX3"/>
    <s v="E"/>
    <s v="(9CK)-KRPUS-(AX3)"/>
    <s v="45D18H"/>
    <n v="1"/>
    <s v="DR"/>
    <s v="D"/>
    <s v="Y"/>
    <s v="Y"/>
    <x v="35"/>
    <s v="DALIAN, LIAONING"/>
    <x v="21"/>
    <s v="DALIAN, LIAONI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97"/>
    <n v="840.04"/>
    <n v="893.14"/>
    <n v="513.25"/>
    <n v="0"/>
    <n v="0"/>
    <n v="592.97"/>
    <n v="840.04"/>
    <n v="893.14"/>
    <n v="513.25"/>
    <n v="0"/>
    <n v="0"/>
    <s v="CNDLC"/>
    <n v="271.234209099"/>
    <n v="298.92434919800002"/>
    <n v="309.95733317000003"/>
    <n v="286.37780108300001"/>
    <n v="0"/>
    <n v="0"/>
    <n v="271.234209099"/>
    <n v="298.92434919800002"/>
    <n v="309.95733317000003"/>
    <n v="286.377801083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7.11"/>
    <n v="723.73"/>
    <n v="723.73"/>
    <n v="0"/>
    <n v="0"/>
    <n v="0"/>
    <m/>
    <m/>
    <m/>
    <m/>
    <m/>
    <m/>
    <m/>
    <m/>
    <m/>
    <m/>
    <m/>
    <m/>
    <s v="9CK"/>
    <s v="AX3"/>
    <m/>
    <m/>
    <s v="S"/>
    <s v="44D6H"/>
    <n v="1031"/>
    <s v="2018-09-29"/>
    <s v="Historical averaged cost."/>
    <n v="0.17"/>
    <n v="0.25600000000000001"/>
    <n v="0.25600000000000001"/>
    <n v="0.25600000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51.839857000000002"/>
    <n v="73.509891300000007"/>
    <n v="73.509891300000007"/>
    <n v="73.509891300000007"/>
    <n v="0"/>
    <n v="0"/>
    <n v="170"/>
    <n v="340"/>
    <n v="380"/>
    <n v="1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39208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7"/>
    <x v="19"/>
    <x v="19"/>
    <x v="0"/>
    <x v="0"/>
    <x v="0"/>
    <m/>
    <m/>
    <m/>
    <m/>
    <m/>
    <m/>
  </r>
  <r>
    <s v="LW"/>
    <s v="LWE"/>
    <s v="LWT"/>
    <s v="LW"/>
    <s v="AX3"/>
    <s v="E"/>
    <s v="(MD2)-KRPUS-(AX3)"/>
    <s v="58D8H"/>
    <n v="1"/>
    <s v="DR"/>
    <s v="D"/>
    <s v="Y"/>
    <s v="Y"/>
    <x v="5"/>
    <s v="FUZHOU, FUJIAN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5.74"/>
    <n v="1042.81"/>
    <n v="995.72"/>
    <n v="1302.01"/>
    <n v="0"/>
    <n v="0"/>
    <n v="665.74"/>
    <n v="1042.81"/>
    <n v="995.72"/>
    <n v="1302.01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MD2"/>
    <s v="AX3"/>
    <s v="F"/>
    <m/>
    <s v="S"/>
    <s v="56D14H"/>
    <n v="1098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AX2)-KRPUS-(AX3)"/>
    <s v="52D0H"/>
    <n v="2"/>
    <s v="DR"/>
    <s v="D"/>
    <s v="Y"/>
    <s v="Y"/>
    <x v="5"/>
    <s v="FUZHOU, FUJIAN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8.02"/>
    <n v="1100.42"/>
    <n v="1053.99"/>
    <n v="1355.03"/>
    <n v="0"/>
    <n v="0"/>
    <n v="708.02"/>
    <n v="1100.42"/>
    <n v="1053.99"/>
    <n v="1355.03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2"/>
    <s v="AX3"/>
    <s v="F"/>
    <m/>
    <s v="S"/>
    <s v="50D6H"/>
    <n v="1085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1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AX1)-KRPUS-(AX3)"/>
    <s v="49D8H"/>
    <n v="2"/>
    <s v="DR"/>
    <s v="D"/>
    <s v="Y"/>
    <s v="Y"/>
    <x v="5"/>
    <s v="FUZHOU, FUJIAN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3.14"/>
    <n v="1024.0899999999999"/>
    <n v="977.99"/>
    <n v="1272.94"/>
    <n v="0"/>
    <n v="0"/>
    <n v="653.14"/>
    <n v="1024.0899999999999"/>
    <n v="977.99"/>
    <n v="1272.94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1"/>
    <s v="AX3"/>
    <s v="F"/>
    <m/>
    <s v="S"/>
    <s v="47D14H"/>
    <n v="1019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1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NX2)-KRPUS-(AX3)"/>
    <s v="46D18H"/>
    <n v="1"/>
    <s v="DR"/>
    <s v="D"/>
    <s v="Y"/>
    <s v="Y"/>
    <x v="5"/>
    <s v="FUZHOU, FUJIAN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0.34"/>
    <n v="1019.93"/>
    <n v="974.05"/>
    <n v="1266.48"/>
    <n v="0"/>
    <n v="0"/>
    <n v="650.34"/>
    <n v="1019.93"/>
    <n v="974.05"/>
    <n v="1266.48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NX2"/>
    <s v="AX3"/>
    <s v="F"/>
    <m/>
    <s v="S"/>
    <s v="45D1H"/>
    <n v="975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KME)-KRPUS-(AX3)"/>
    <s v="56D5H"/>
    <n v="1"/>
    <s v="DR"/>
    <s v="D"/>
    <s v="Y"/>
    <s v="Y"/>
    <x v="5"/>
    <s v="FUZHOU, FUJIAN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6.87"/>
    <n v="1115.8800000000001"/>
    <n v="1069.01"/>
    <n v="1380.65"/>
    <n v="0"/>
    <n v="0"/>
    <n v="716.87"/>
    <n v="1115.8800000000001"/>
    <n v="1069.01"/>
    <n v="1380.65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KME"/>
    <s v="AX3"/>
    <s v="F"/>
    <m/>
    <s v="S"/>
    <s v="54D12H"/>
    <n v="1068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8CD)-CNNGB-(AX3)"/>
    <s v="49D18H"/>
    <n v="1"/>
    <s v="DR"/>
    <s v="D"/>
    <s v="Y"/>
    <s v="Y"/>
    <x v="5"/>
    <s v="FUZHOU, FUJIAN"/>
    <x v="10"/>
    <s v="FUZHOU, FUJIAN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7.48"/>
    <n v="764.09"/>
    <n v="717.88"/>
    <n v="1034.19"/>
    <n v="0"/>
    <n v="0"/>
    <n v="477.48"/>
    <n v="764.09"/>
    <n v="717.88"/>
    <n v="1034.1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8CD"/>
    <s v="AX3"/>
    <m/>
    <m/>
    <s v="S"/>
    <s v="48D6H"/>
    <n v="1143"/>
    <s v="2018-09-29"/>
    <s v="Historical averaged cost."/>
    <n v="0"/>
    <n v="0"/>
    <n v="0"/>
    <n v="0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6.634135860000001"/>
    <n v="39.451703790000003"/>
    <n v="39.451703790000003"/>
    <n v="53.16777037"/>
    <n v="0"/>
    <n v="0"/>
    <n v="160.93518"/>
    <n v="292.60942"/>
    <n v="292.60942"/>
    <n v="365.76177999999999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AX3)"/>
    <s v="49D0H"/>
    <n v="1"/>
    <s v="DR"/>
    <s v="D"/>
    <s v="Y"/>
    <s v="Y"/>
    <x v="5"/>
    <s v="FUZHOU, FUJIAN"/>
    <x v="4"/>
    <s v="NINGBO, ZHEJI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1.34"/>
    <n v="755.4"/>
    <n v="709.3"/>
    <n v="1024.3499999999999"/>
    <n v="0"/>
    <n v="0"/>
    <n v="471.34"/>
    <n v="755.4"/>
    <n v="709.3"/>
    <n v="1024.349999999999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6.52"/>
    <n v="722.41"/>
    <n v="722.41"/>
    <n v="0"/>
    <n v="0"/>
    <n v="0"/>
    <m/>
    <m/>
    <m/>
    <m/>
    <m/>
    <m/>
    <m/>
    <m/>
    <m/>
    <m/>
    <m/>
    <m/>
    <s v="AX3"/>
    <s v="AX3"/>
    <s v="F"/>
    <m/>
    <s v="S"/>
    <s v="47D6H"/>
    <n v="993"/>
    <s v="2018-09-29"/>
    <s v="Historical averaged cost."/>
    <n v="21.89311"/>
    <n v="32.839919999999999"/>
    <n v="32.839919999999999"/>
    <n v="46.555990000000001"/>
    <n v="0"/>
    <n v="0"/>
    <n v="160.93518"/>
    <n v="292.60942"/>
    <n v="292.60942"/>
    <n v="365.76177999999999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AX2)-KRPUS-(AX3)"/>
    <s v="53D16H"/>
    <n v="2"/>
    <s v="DR"/>
    <s v="D"/>
    <s v="Y"/>
    <s v="Y"/>
    <x v="5"/>
    <s v="FUZHOU, FUJIAN"/>
    <x v="11"/>
    <s v="XIAMEN, FUJIAN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4"/>
    <n v="930.33"/>
    <n v="883.69"/>
    <n v="1182.49"/>
    <n v="0"/>
    <n v="0"/>
    <n v="604"/>
    <n v="930.33"/>
    <n v="883.69"/>
    <n v="1182.4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2"/>
    <s v="AX3"/>
    <s v="F"/>
    <m/>
    <s v="S"/>
    <s v="51D23H"/>
    <n v="1162"/>
    <s v="2018-09-29"/>
    <s v="Historical averaged cost."/>
    <n v="67.504099999999994"/>
    <n v="100.90221"/>
    <n v="100.90221"/>
    <n v="119.59263"/>
    <n v="0"/>
    <n v="0"/>
    <n v="86.636120000000005"/>
    <n v="171.99817999999999"/>
    <n v="171.99817999999999"/>
    <n v="215.31623999999999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CSW)-KRPUS-(AX3)"/>
    <s v="45D0H"/>
    <n v="1"/>
    <s v="DR"/>
    <s v="D"/>
    <s v="Y"/>
    <s v="Y"/>
    <x v="5"/>
    <s v="FUZHOU, FUJIAN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8.22"/>
    <n v="1085.8599999999999"/>
    <n v="1040.2"/>
    <n v="1332.42"/>
    <n v="0"/>
    <n v="0"/>
    <n v="698.22"/>
    <n v="1085.8599999999999"/>
    <n v="1040.2"/>
    <n v="1332.42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CSW"/>
    <s v="AX3"/>
    <s v="F"/>
    <m/>
    <s v="S"/>
    <s v="43D6H"/>
    <n v="932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1"/>
    <s v="E"/>
    <s v="(AX1)-MXZLO-(AX3)"/>
    <s v="49D8H"/>
    <n v="2"/>
    <s v="DR"/>
    <s v="D"/>
    <s v="Y"/>
    <s v="Y"/>
    <x v="5"/>
    <s v="FUZHOU, FUJIAN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4.91"/>
    <n v="1002.52"/>
    <n v="956.42"/>
    <n v="1251.3699999999999"/>
    <n v="0"/>
    <n v="0"/>
    <n v="674.91"/>
    <n v="1002.52"/>
    <n v="956.42"/>
    <n v="1251.3699999999999"/>
    <n v="0"/>
    <n v="0"/>
    <s v="CNFOC"/>
    <n v="184.590388244"/>
    <n v="296.36004738999998"/>
    <n v="248.52561127999999"/>
    <n v="450.23693042899998"/>
    <n v="0"/>
    <n v="0"/>
    <n v="184.590388244"/>
    <n v="296.36004738999998"/>
    <n v="248.52561127999999"/>
    <n v="450.236930428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1"/>
    <s v="AX3"/>
    <s v="F"/>
    <m/>
    <s v="S"/>
    <s v="47D14H"/>
    <n v="1019"/>
    <s v="2018-09-29"/>
    <s v="Historical averaged cost."/>
    <n v="152.66703000000001"/>
    <n v="230.55654000000001"/>
    <n v="230.55654000000001"/>
    <n v="270.17982999999998"/>
    <n v="0"/>
    <n v="0"/>
    <n v="108.29515000000001"/>
    <n v="216.59030000000001"/>
    <n v="216.59030000000001"/>
    <n v="243.72779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715001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2"/>
    <s v="E"/>
    <s v="(AX2)-KRPUS-(AX2)-MXZLO-(AX3)"/>
    <s v="45D5H"/>
    <n v="3"/>
    <s v="DR"/>
    <s v="D"/>
    <s v="Y"/>
    <s v="Y"/>
    <x v="7"/>
    <s v="GAOMING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12"/>
    <n v="616.47"/>
    <n v="974.23"/>
    <n v="862.95"/>
    <n v="0"/>
    <n v="0"/>
    <n v="744.12"/>
    <n v="616.47"/>
    <n v="974.23"/>
    <n v="862.95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3D12H"/>
    <n v="949"/>
    <s v="2018-09-29"/>
    <s v="Historical averaged cost."/>
    <n v="110.87472"/>
    <n v="166.13449"/>
    <n v="166.13449"/>
    <n v="183.10584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8D8H"/>
    <n v="1"/>
    <s v="DR"/>
    <s v="D"/>
    <s v="Y"/>
    <s v="Y"/>
    <x v="7"/>
    <s v="GAOMING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3.5"/>
    <n v="451.71"/>
    <n v="809.14"/>
    <n v="710.19"/>
    <n v="0"/>
    <n v="0"/>
    <n v="603.5"/>
    <n v="451.71"/>
    <n v="809.14"/>
    <n v="710.19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20H"/>
    <n v="1"/>
    <s v="DR"/>
    <s v="D"/>
    <s v="Y"/>
    <s v="Y"/>
    <x v="7"/>
    <s v="GAOMI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4.82000000000005"/>
    <n v="580.52"/>
    <n v="937.17"/>
    <n v="864.4"/>
    <n v="0"/>
    <n v="0"/>
    <n v="654.82000000000005"/>
    <n v="580.52"/>
    <n v="937.17"/>
    <n v="864.4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3D3H"/>
    <n v="1068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5D5H"/>
    <n v="1"/>
    <s v="DR"/>
    <s v="D"/>
    <s v="Y"/>
    <s v="Y"/>
    <x v="7"/>
    <s v="GAOMING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2.13"/>
    <n v="471.77"/>
    <n v="829.52"/>
    <n v="713.62"/>
    <n v="0"/>
    <n v="0"/>
    <n v="642.13"/>
    <n v="471.77"/>
    <n v="829.52"/>
    <n v="713.62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3D12H"/>
    <n v="949"/>
    <s v="2018-09-29"/>
    <s v="Historical averaged cost."/>
    <n v="110.87472"/>
    <n v="166.13449"/>
    <n v="166.13449"/>
    <n v="183.10584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23H"/>
    <n v="1"/>
    <s v="DR"/>
    <s v="D"/>
    <s v="Y"/>
    <s v="Y"/>
    <x v="7"/>
    <s v="GAOMI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3.69000000000005"/>
    <n v="507.45"/>
    <n v="863.89"/>
    <n v="785.76"/>
    <n v="0"/>
    <n v="0"/>
    <n v="603.69000000000005"/>
    <n v="507.45"/>
    <n v="863.89"/>
    <n v="785.76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5D5H"/>
    <n v="1098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23H"/>
    <n v="2"/>
    <s v="DR"/>
    <s v="D"/>
    <s v="Y"/>
    <s v="Y"/>
    <x v="7"/>
    <s v="GAOMI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2.85"/>
    <n v="467.16"/>
    <n v="824.59"/>
    <n v="735.12"/>
    <n v="0"/>
    <n v="0"/>
    <n v="612.85"/>
    <n v="467.16"/>
    <n v="824.59"/>
    <n v="735.12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5H"/>
    <n v="1019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2D5H"/>
    <n v="1"/>
    <s v="DR"/>
    <s v="D"/>
    <s v="Y"/>
    <s v="Y"/>
    <x v="7"/>
    <s v="GAOMING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5.58000000000004"/>
    <n v="502.71"/>
    <n v="859.7"/>
    <n v="754.93"/>
    <n v="0"/>
    <n v="0"/>
    <n v="605.58000000000004"/>
    <n v="502.71"/>
    <n v="859.7"/>
    <n v="754.93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12H"/>
    <n v="1117"/>
    <s v="2018-09-29"/>
    <s v="Historical averaged cost."/>
    <n v="110.87472"/>
    <n v="166.13449"/>
    <n v="166.13449"/>
    <n v="183.10584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15H"/>
    <n v="2"/>
    <s v="DR"/>
    <s v="D"/>
    <s v="Y"/>
    <s v="Y"/>
    <x v="7"/>
    <s v="GAOMI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5.97"/>
    <n v="565.05999999999995"/>
    <n v="922.15"/>
    <n v="838.78"/>
    <n v="0"/>
    <n v="0"/>
    <n v="645.97"/>
    <n v="565.05999999999995"/>
    <n v="922.15"/>
    <n v="838.78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21H"/>
    <n v="1085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23H"/>
    <n v="2"/>
    <s v="DR"/>
    <s v="D"/>
    <s v="Y"/>
    <s v="Y"/>
    <x v="7"/>
    <s v="GAOMI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1.09"/>
    <n v="488.73"/>
    <n v="846.16"/>
    <n v="756.69"/>
    <n v="0"/>
    <n v="0"/>
    <n v="591.09"/>
    <n v="488.73"/>
    <n v="846.16"/>
    <n v="756.69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5H"/>
    <n v="1019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8D8H"/>
    <n v="2"/>
    <s v="DR"/>
    <s v="D"/>
    <s v="Y"/>
    <s v="Y"/>
    <x v="7"/>
    <s v="GAOMING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1.74"/>
    <n v="473.29"/>
    <n v="830.71"/>
    <n v="731.76"/>
    <n v="0"/>
    <n v="0"/>
    <n v="581.74"/>
    <n v="473.29"/>
    <n v="830.71"/>
    <n v="731.76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8.532589999999999"/>
    <n v="132.29938999999999"/>
    <n v="132.29938999999999"/>
    <n v="162.43816000000001"/>
    <n v="0"/>
    <n v="0"/>
    <n v="108.29515000000001"/>
    <n v="165.62788"/>
    <n v="165.62788"/>
    <n v="165.62788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5D9H"/>
    <n v="1"/>
    <s v="DR"/>
    <s v="D"/>
    <s v="Y"/>
    <s v="Y"/>
    <x v="7"/>
    <s v="GAOMI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6.89"/>
    <n v="482.49"/>
    <n v="840.25"/>
    <n v="747"/>
    <n v="0"/>
    <n v="0"/>
    <n v="586.89"/>
    <n v="482.49"/>
    <n v="840.25"/>
    <n v="747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16H"/>
    <n v="975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15H"/>
    <n v="1"/>
    <s v="DR"/>
    <s v="D"/>
    <s v="Y"/>
    <s v="Y"/>
    <x v="7"/>
    <s v="GAOMI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6.16999999999996"/>
    <n v="550.5"/>
    <n v="908.36"/>
    <n v="816.17"/>
    <n v="0"/>
    <n v="0"/>
    <n v="636.16999999999996"/>
    <n v="550.5"/>
    <n v="908.36"/>
    <n v="816.17"/>
    <n v="0"/>
    <n v="0"/>
    <s v="CNGOM"/>
    <n v="178.72398809399999"/>
    <n v="-103.14728022"/>
    <n v="252.43428706899999"/>
    <n v="98.131379276999994"/>
    <n v="0"/>
    <n v="0"/>
    <n v="178.72398809399999"/>
    <n v="-103.14728022"/>
    <n v="252.43428706899999"/>
    <n v="98.13137927699999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21H"/>
    <n v="932"/>
    <s v="2018-09-29"/>
    <s v="Historical averaged cost."/>
    <n v="152.66703000000001"/>
    <n v="230.55654000000001"/>
    <n v="230.55654000000001"/>
    <n v="270.17982999999998"/>
    <n v="0"/>
    <n v="0"/>
    <n v="53.510550000000002"/>
    <n v="82.813940000000002"/>
    <n v="82.813940000000002"/>
    <n v="82.81394000000000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335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VH3)-HKHKG-(AX1)-KRPUS-(AX3)"/>
    <s v="50D18H"/>
    <n v="2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2.49"/>
    <n v="862.92"/>
    <n v="865.91"/>
    <n v="995"/>
    <n v="0"/>
    <n v="0"/>
    <n v="482.49"/>
    <n v="862.92"/>
    <n v="865.91"/>
    <n v="995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VH3"/>
    <s v="AX3"/>
    <m/>
    <m/>
    <s v="S"/>
    <s v="49D7H"/>
    <n v="1162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49.35974375000001"/>
    <n v="367.00032721999997"/>
    <n v="367.00032721999997"/>
    <n v="406.62361185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5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VH2)-HKHKG-(AX1)-MXZLO-(AX3)"/>
    <s v="53D18H"/>
    <n v="2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8.45"/>
    <n v="847.59"/>
    <n v="850.25"/>
    <n v="983.12"/>
    <n v="0"/>
    <n v="0"/>
    <n v="508.45"/>
    <n v="847.59"/>
    <n v="850.25"/>
    <n v="983.12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VH2"/>
    <s v="AX3"/>
    <m/>
    <m/>
    <s v="S"/>
    <s v="52D6H"/>
    <n v="1232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71.12202975000002"/>
    <n v="345.42854462000003"/>
    <n v="345.42854462000003"/>
    <n v="385.05182925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7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2"/>
    <s v="E"/>
    <s v="(TVH)-CNSHK-(AX2)-MXZLO-(AX3)"/>
    <s v="56D1H"/>
    <n v="2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2.87"/>
    <n v="1025.76"/>
    <n v="1028.28"/>
    <n v="1157.74"/>
    <n v="0"/>
    <n v="0"/>
    <n v="652.87"/>
    <n v="1025.76"/>
    <n v="1028.28"/>
    <n v="1157.74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TVH"/>
    <s v="AX3"/>
    <m/>
    <m/>
    <s v="S"/>
    <s v="54D13H"/>
    <n v="1263"/>
    <s v="2018-09-29"/>
    <s v="Historical averaged cost."/>
    <n v="56.470999999999997"/>
    <n v="81.516000000000005"/>
    <n v="81.335999999999999"/>
    <n v="90.506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413.67544994000002"/>
    <n v="519.81097962000001"/>
    <n v="519.81097962000001"/>
    <n v="553.75367238000001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8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3"/>
    <s v="E"/>
    <s v="(VH3)-HKHKG-(NX2)-KRPUS-(AX3)"/>
    <s v="50D18H"/>
    <n v="1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2.49"/>
    <n v="862.92"/>
    <n v="865.91"/>
    <n v="995"/>
    <n v="0"/>
    <n v="0"/>
    <n v="482.49"/>
    <n v="862.92"/>
    <n v="865.91"/>
    <n v="995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VH3"/>
    <s v="AX3"/>
    <m/>
    <m/>
    <s v="S"/>
    <s v="49D7H"/>
    <n v="1162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49.35974375000001"/>
    <n v="367.00032721999997"/>
    <n v="367.00032721999997"/>
    <n v="406.62361185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2"/>
    <s v="E"/>
    <s v="(VH2)-HKHKG-(AX2)-MXZLO-(AX3)"/>
    <s v="46D18H"/>
    <n v="1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3.91999999999996"/>
    <n v="908.3"/>
    <n v="911.73"/>
    <n v="1035.78"/>
    <n v="0"/>
    <n v="0"/>
    <n v="573.91999999999996"/>
    <n v="908.3"/>
    <n v="911.73"/>
    <n v="1035.78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VH2"/>
    <s v="AX3"/>
    <m/>
    <m/>
    <s v="S"/>
    <s v="45D6H"/>
    <n v="1064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46.39202975000001"/>
    <n v="420.69854462000001"/>
    <n v="420.69854462000001"/>
    <n v="460.32182926000002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3"/>
    <s v="E"/>
    <s v="(VH3)-HKHKG-(MD2)-KRPUS-(AX3)"/>
    <s v="57D18H"/>
    <n v="1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2.29"/>
    <n v="877.48"/>
    <n v="879.7"/>
    <n v="1017.61"/>
    <n v="0"/>
    <n v="0"/>
    <n v="492.29"/>
    <n v="877.48"/>
    <n v="879.7"/>
    <n v="1017.61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VH3"/>
    <s v="AX3"/>
    <m/>
    <m/>
    <s v="S"/>
    <s v="56D7H"/>
    <n v="1330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49.35974375000001"/>
    <n v="367.00032721999997"/>
    <n v="367.00032721999997"/>
    <n v="406.62361185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4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1"/>
    <s v="E"/>
    <s v="(VH3)-HKHKG-(AX1)-MXZLO-(AX3)"/>
    <s v="50D18H"/>
    <n v="2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25"/>
    <n v="841.35"/>
    <n v="844.34"/>
    <n v="973.43"/>
    <n v="0"/>
    <n v="0"/>
    <n v="504.25"/>
    <n v="841.35"/>
    <n v="844.34"/>
    <n v="973.43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VH3"/>
    <s v="AX3"/>
    <m/>
    <m/>
    <s v="S"/>
    <s v="49D7H"/>
    <n v="1162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71.12202975000002"/>
    <n v="345.42854462000003"/>
    <n v="345.42854462000003"/>
    <n v="385.05182925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6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3"/>
    <s v="E"/>
    <s v="(VH3)-HKHKG-(CSW)-KRPUS-(AX3)"/>
    <s v="43D18H"/>
    <n v="1"/>
    <s v="DR"/>
    <s v="D"/>
    <s v="Y"/>
    <s v="Y"/>
    <x v="36"/>
    <s v="HAIPHONG"/>
    <x v="24"/>
    <s v="HAIPH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3.36"/>
    <n v="918.45"/>
    <n v="922.2"/>
    <n v="1044.79"/>
    <n v="0"/>
    <n v="0"/>
    <n v="523.36"/>
    <n v="918.45"/>
    <n v="922.2"/>
    <n v="1044.79"/>
    <n v="0"/>
    <n v="0"/>
    <s v="VNHPH"/>
    <n v="69"/>
    <n v="276.28453308500002"/>
    <n v="278.017745972"/>
    <n v="329.07849206200001"/>
    <n v="0"/>
    <n v="0"/>
    <n v="69"/>
    <n v="276.28453308500002"/>
    <n v="278.017745972"/>
    <n v="329.0784920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1.47"/>
    <n v="703.26"/>
    <n v="703.26"/>
    <n v="0"/>
    <n v="0"/>
    <n v="0"/>
    <m/>
    <m/>
    <m/>
    <m/>
    <m/>
    <m/>
    <m/>
    <m/>
    <m/>
    <m/>
    <m/>
    <m/>
    <s v="VH3"/>
    <s v="AX3"/>
    <m/>
    <m/>
    <s v="S"/>
    <s v="42D7H"/>
    <n v="994"/>
    <s v="2018-09-29"/>
    <s v="Historical averaged cost."/>
    <n v="57.402000000000001"/>
    <n v="81.887"/>
    <n v="81.626999999999995"/>
    <n v="91.0469999999999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0.03850075000003"/>
    <n v="437.08703392000001"/>
    <n v="437.08703392000001"/>
    <n v="479.0223165599999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721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0"/>
    <x v="0"/>
    <x v="0"/>
    <x v="5"/>
    <x v="5"/>
    <x v="5"/>
    <x v="1"/>
    <x v="1"/>
    <x v="1"/>
    <m/>
    <m/>
    <m/>
    <m/>
    <m/>
    <m/>
  </r>
  <r>
    <s v="LW"/>
    <s v="LWE"/>
    <s v="LWT"/>
    <s v="LW"/>
    <s v="AX3"/>
    <s v="E"/>
    <s v="(CSW)-KRPUS-(AX3)"/>
    <s v="41D18H"/>
    <n v="1"/>
    <s v="DR"/>
    <s v="D"/>
    <s v="Y"/>
    <s v="Y"/>
    <x v="9"/>
    <s v="HONG K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7.26"/>
    <n v="699.43"/>
    <n v="672.06"/>
    <n v="846.54"/>
    <n v="0"/>
    <n v="0"/>
    <n v="397.26"/>
    <n v="699.43"/>
    <n v="672.06"/>
    <n v="846.54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CSW"/>
    <s v="AX3"/>
    <m/>
    <m/>
    <s v="S"/>
    <s v="40D6H"/>
    <n v="932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000008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3"/>
    <s v="E"/>
    <s v="(AX2)-KRPUS-(AX3)"/>
    <s v="48D18H"/>
    <n v="2"/>
    <s v="DR"/>
    <s v="D"/>
    <s v="Y"/>
    <s v="Y"/>
    <x v="9"/>
    <s v="HONG K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7.06"/>
    <n v="713.99"/>
    <n v="685.85"/>
    <n v="869.15"/>
    <n v="0"/>
    <n v="0"/>
    <n v="407.06"/>
    <n v="713.99"/>
    <n v="685.85"/>
    <n v="869.15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AX2"/>
    <s v="AX3"/>
    <m/>
    <m/>
    <s v="S"/>
    <s v="47D6H"/>
    <n v="1085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000012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3"/>
    <s v="E"/>
    <s v="(KME)-KRPUS-(AX3)"/>
    <s v="52D23H"/>
    <n v="1"/>
    <s v="DR"/>
    <s v="D"/>
    <s v="Y"/>
    <s v="Y"/>
    <x v="9"/>
    <s v="HONG K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5.91"/>
    <n v="729.45"/>
    <n v="700.87"/>
    <n v="894.77"/>
    <n v="0"/>
    <n v="0"/>
    <n v="415.91"/>
    <n v="729.45"/>
    <n v="700.87"/>
    <n v="894.77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KME"/>
    <s v="AX3"/>
    <m/>
    <m/>
    <s v="S"/>
    <s v="51D12H"/>
    <n v="1068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000010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3"/>
    <s v="E"/>
    <s v="(MD2)-KRPUS-(AX3)"/>
    <s v="55D2H"/>
    <n v="1"/>
    <s v="DR"/>
    <s v="D"/>
    <s v="Y"/>
    <s v="Y"/>
    <x v="9"/>
    <s v="HONG K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64.78"/>
    <n v="656.39"/>
    <n v="627.58000000000004"/>
    <n v="816.13"/>
    <n v="0"/>
    <n v="0"/>
    <n v="364.78"/>
    <n v="656.39"/>
    <n v="627.58000000000004"/>
    <n v="816.13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MD2"/>
    <s v="AX3"/>
    <m/>
    <m/>
    <s v="S"/>
    <s v="53D14H"/>
    <n v="1098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000011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3"/>
    <s v="E"/>
    <s v="(AX1)-KRPUS-(AX3)"/>
    <s v="46D2H"/>
    <n v="2"/>
    <s v="DR"/>
    <s v="D"/>
    <s v="Y"/>
    <s v="Y"/>
    <x v="9"/>
    <s v="HONG K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2.18"/>
    <n v="637.66999999999996"/>
    <n v="609.85"/>
    <n v="787.06"/>
    <n v="0"/>
    <n v="0"/>
    <n v="352.18"/>
    <n v="637.66999999999996"/>
    <n v="609.85"/>
    <n v="787.06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AX1"/>
    <s v="AX3"/>
    <m/>
    <m/>
    <s v="S"/>
    <s v="44D14H"/>
    <n v="1019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000013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1"/>
    <s v="E"/>
    <s v="(AX1)-MXZLO-(AX3)"/>
    <s v="46D2H"/>
    <n v="2"/>
    <s v="DR"/>
    <s v="D"/>
    <s v="Y"/>
    <s v="Y"/>
    <x v="9"/>
    <s v="HONG K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3.95"/>
    <n v="616.1"/>
    <n v="588.28"/>
    <n v="765.48"/>
    <n v="0"/>
    <n v="0"/>
    <n v="373.95"/>
    <n v="616.1"/>
    <n v="588.28"/>
    <n v="765.48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AX1"/>
    <s v="AX3"/>
    <m/>
    <m/>
    <s v="S"/>
    <s v="44D14H"/>
    <n v="1019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000014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3"/>
    <s v="E"/>
    <s v="(NX2)-KRPUS-(AX3)"/>
    <s v="43D12H"/>
    <n v="1"/>
    <s v="DR"/>
    <s v="D"/>
    <s v="Y"/>
    <s v="Y"/>
    <x v="9"/>
    <s v="HONG K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9.38"/>
    <n v="633.51"/>
    <n v="605.91"/>
    <n v="780.6"/>
    <n v="0"/>
    <n v="0"/>
    <n v="349.38"/>
    <n v="633.51"/>
    <n v="605.91"/>
    <n v="780.6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695.46"/>
    <n v="968.55"/>
    <n v="968.55"/>
    <n v="0"/>
    <n v="0"/>
    <n v="0"/>
    <m/>
    <m/>
    <m/>
    <m/>
    <m/>
    <m/>
    <m/>
    <m/>
    <m/>
    <m/>
    <m/>
    <m/>
    <s v="NX2"/>
    <s v="AX3"/>
    <m/>
    <m/>
    <s v="S"/>
    <s v="42D1H"/>
    <n v="975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1000009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0"/>
    <x v="0"/>
    <x v="0"/>
    <x v="6"/>
    <x v="6"/>
    <x v="6"/>
    <x v="0"/>
    <x v="0"/>
    <x v="0"/>
    <m/>
    <m/>
    <m/>
    <m/>
    <m/>
    <m/>
  </r>
  <r>
    <s v="LW"/>
    <s v="LWE"/>
    <s v="LWT"/>
    <s v="LW"/>
    <s v="AX3"/>
    <s v="E"/>
    <s v="(AX1)-KRPUS-(AX3)"/>
    <s v="47D8H"/>
    <n v="2"/>
    <s v="DR"/>
    <s v="D"/>
    <s v="Y"/>
    <s v="Y"/>
    <x v="10"/>
    <s v="HUANGP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1.57"/>
    <n v="579.41"/>
    <n v="699.12"/>
    <n v="1070.8399999999999"/>
    <n v="0"/>
    <n v="0"/>
    <n v="481.57"/>
    <n v="579.41"/>
    <n v="699.12"/>
    <n v="1070.839999999999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4H"/>
    <n v="1019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5D21H"/>
    <n v="3"/>
    <s v="DR"/>
    <s v="D"/>
    <s v="Y"/>
    <s v="Y"/>
    <x v="10"/>
    <s v="HUANGP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8.23"/>
    <n v="720.86"/>
    <n v="840.69"/>
    <n v="1195.03"/>
    <n v="0"/>
    <n v="0"/>
    <n v="648.23"/>
    <n v="720.86"/>
    <n v="840.69"/>
    <n v="1195.03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4D4H"/>
    <n v="949"/>
    <s v="2018-09-29"/>
    <s v="Historical averaged cost."/>
    <n v="110.87472"/>
    <n v="166.13449"/>
    <n v="166.13449"/>
    <n v="183.10584"/>
    <n v="0"/>
    <n v="0"/>
    <n v="36.31073"/>
    <n v="61.154910000000001"/>
    <n v="61.154910000000001"/>
    <n v="76.443640000000002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5H"/>
    <n v="1"/>
    <s v="DR"/>
    <s v="D"/>
    <s v="Y"/>
    <s v="Y"/>
    <x v="10"/>
    <s v="HUANGP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5.29999999999995"/>
    <n v="671.19"/>
    <n v="790.14"/>
    <n v="1178.55"/>
    <n v="0"/>
    <n v="0"/>
    <n v="545.29999999999995"/>
    <n v="671.19"/>
    <n v="790.14"/>
    <n v="1178.55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2D12H"/>
    <n v="1068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8H"/>
    <n v="1"/>
    <s v="DR"/>
    <s v="D"/>
    <s v="Y"/>
    <s v="Y"/>
    <x v="10"/>
    <s v="HUANGP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4.17"/>
    <n v="598.13"/>
    <n v="716.85"/>
    <n v="1099.9100000000001"/>
    <n v="0"/>
    <n v="0"/>
    <n v="494.17"/>
    <n v="598.13"/>
    <n v="716.85"/>
    <n v="1099.9100000000001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4D14H"/>
    <n v="1098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5D21H"/>
    <n v="1"/>
    <s v="DR"/>
    <s v="D"/>
    <s v="Y"/>
    <s v="Y"/>
    <x v="10"/>
    <s v="HUANGP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6.24"/>
    <n v="576.16"/>
    <n v="695.99"/>
    <n v="1045.7"/>
    <n v="0"/>
    <n v="0"/>
    <n v="546.24"/>
    <n v="576.16"/>
    <n v="695.99"/>
    <n v="1045.7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4D4H"/>
    <n v="949"/>
    <s v="2018-09-29"/>
    <s v="Historical averaged cost."/>
    <n v="110.87472"/>
    <n v="166.13449"/>
    <n v="166.13449"/>
    <n v="183.10584"/>
    <n v="0"/>
    <n v="0"/>
    <n v="36.31073"/>
    <n v="61.154910000000001"/>
    <n v="61.154910000000001"/>
    <n v="76.443640000000002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6D12H"/>
    <n v="1"/>
    <s v="DR"/>
    <s v="D"/>
    <s v="Y"/>
    <s v="Y"/>
    <x v="10"/>
    <s v="HUANGPU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9.97"/>
    <n v="521.37"/>
    <n v="641.09"/>
    <n v="1007.78"/>
    <n v="0"/>
    <n v="0"/>
    <n v="479.97"/>
    <n v="521.37"/>
    <n v="641.09"/>
    <n v="1007.78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4D19H"/>
    <n v="1008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8H"/>
    <n v="2"/>
    <s v="DR"/>
    <s v="D"/>
    <s v="Y"/>
    <s v="Y"/>
    <x v="10"/>
    <s v="HUANGP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3.33"/>
    <n v="557.83000000000004"/>
    <n v="677.55"/>
    <n v="1049.27"/>
    <n v="0"/>
    <n v="0"/>
    <n v="503.33"/>
    <n v="557.83000000000004"/>
    <n v="677.55"/>
    <n v="1049.27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4H"/>
    <n v="1019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0H"/>
    <n v="1"/>
    <s v="DR"/>
    <s v="D"/>
    <s v="Y"/>
    <s v="Y"/>
    <x v="10"/>
    <s v="HUANGP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6.65"/>
    <n v="641.16999999999996"/>
    <n v="761.33"/>
    <n v="1130.32"/>
    <n v="0"/>
    <n v="0"/>
    <n v="526.65"/>
    <n v="641.16999999999996"/>
    <n v="761.33"/>
    <n v="1130.32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6H"/>
    <n v="932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4D18H"/>
    <n v="1"/>
    <s v="DR"/>
    <s v="D"/>
    <s v="Y"/>
    <s v="Y"/>
    <x v="10"/>
    <s v="HUANGP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8.77"/>
    <n v="575.25"/>
    <n v="695.18"/>
    <n v="1064.3800000000001"/>
    <n v="0"/>
    <n v="0"/>
    <n v="478.77"/>
    <n v="575.25"/>
    <n v="695.18"/>
    <n v="1064.3800000000001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1H"/>
    <n v="975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0H"/>
    <n v="2"/>
    <s v="DR"/>
    <s v="D"/>
    <s v="Y"/>
    <s v="Y"/>
    <x v="10"/>
    <s v="HUANGP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6.45000000000005"/>
    <n v="655.73"/>
    <n v="775.12"/>
    <n v="1152.93"/>
    <n v="0"/>
    <n v="0"/>
    <n v="536.45000000000005"/>
    <n v="655.73"/>
    <n v="775.12"/>
    <n v="1152.93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6H"/>
    <n v="1085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2D21H"/>
    <n v="1"/>
    <s v="DR"/>
    <s v="D"/>
    <s v="Y"/>
    <s v="Y"/>
    <x v="10"/>
    <s v="HUANGP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9.69"/>
    <n v="607.11"/>
    <n v="726.16"/>
    <n v="1087.01"/>
    <n v="0"/>
    <n v="0"/>
    <n v="509.69"/>
    <n v="607.11"/>
    <n v="726.16"/>
    <n v="1087.01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1D4H"/>
    <n v="1117"/>
    <s v="2018-09-29"/>
    <s v="Historical averaged cost."/>
    <n v="110.87472"/>
    <n v="166.13449"/>
    <n v="166.13449"/>
    <n v="183.10584"/>
    <n v="0"/>
    <n v="0"/>
    <n v="36.31073"/>
    <n v="61.154910000000001"/>
    <n v="61.154910000000001"/>
    <n v="76.44364000000000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6D12H"/>
    <n v="2"/>
    <s v="DR"/>
    <s v="D"/>
    <s v="Y"/>
    <s v="Y"/>
    <x v="10"/>
    <s v="HUANGPU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8.21"/>
    <n v="542.94000000000005"/>
    <n v="662.66"/>
    <n v="1029.3499999999999"/>
    <n v="0"/>
    <n v="0"/>
    <n v="458.21"/>
    <n v="542.94000000000005"/>
    <n v="662.66"/>
    <n v="1029.349999999999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4D19H"/>
    <n v="1008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214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JID)-SGSIN-(MD2)-KRPUS-(AX3)"/>
    <s v="57D17H"/>
    <n v="2"/>
    <s v="DR"/>
    <s v="D"/>
    <s v="Y"/>
    <s v="Y"/>
    <x v="11"/>
    <s v="JAKARTA"/>
    <x v="13"/>
    <s v="JAKART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4.98"/>
    <n v="881.88"/>
    <n v="806.56"/>
    <n v="902.29"/>
    <n v="0"/>
    <n v="0"/>
    <n v="474.98"/>
    <n v="881.88"/>
    <n v="806.56"/>
    <n v="902.29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JID"/>
    <s v="AX3"/>
    <m/>
    <m/>
    <s v="S"/>
    <s v="56D5H"/>
    <n v="1296"/>
    <s v="2018-09-29"/>
    <s v="Historical averaged cost."/>
    <n v="84.396000000000001"/>
    <n v="126.595"/>
    <n v="126.595"/>
    <n v="157.715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8190002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3"/>
    <s v="E"/>
    <s v="(IPS)-KRPUS-(AX3)"/>
    <s v="50D19H"/>
    <n v="1"/>
    <s v="DR"/>
    <s v="D"/>
    <s v="Y"/>
    <s v="Y"/>
    <x v="11"/>
    <s v="JAKARTA"/>
    <x v="13"/>
    <s v="JAKART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3.72"/>
    <n v="828.46"/>
    <n v="753.91"/>
    <n v="846.59"/>
    <n v="0"/>
    <n v="0"/>
    <n v="403.72"/>
    <n v="828.46"/>
    <n v="753.91"/>
    <n v="846.59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IPS"/>
    <s v="AX3"/>
    <m/>
    <m/>
    <s v="S"/>
    <s v="49D7H"/>
    <n v="1149"/>
    <s v="2018-09-29"/>
    <s v="Historical averaged cost."/>
    <n v="83"/>
    <n v="124.5"/>
    <n v="124.5"/>
    <n v="155.62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8190001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3"/>
    <s v="E"/>
    <s v="(TI1)-SGSIN-(MD2)-KRPUS-(AX3)"/>
    <s v="59D3H"/>
    <n v="2"/>
    <s v="DR"/>
    <s v="D"/>
    <s v="Y"/>
    <s v="Y"/>
    <x v="11"/>
    <s v="JAKARTA"/>
    <x v="13"/>
    <s v="JAKART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6.68"/>
    <n v="869.42"/>
    <n v="793.98"/>
    <n v="887.42"/>
    <n v="0"/>
    <n v="0"/>
    <n v="466.68"/>
    <n v="869.42"/>
    <n v="793.98"/>
    <n v="887.42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TI1"/>
    <s v="AX3"/>
    <m/>
    <m/>
    <s v="S"/>
    <s v="57D16H"/>
    <n v="1355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8190004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3"/>
    <s v="E"/>
    <s v="(TI1)-SGSIN-(NX2)-KRPUS-(AX3)"/>
    <s v="52D3H"/>
    <n v="2"/>
    <s v="DR"/>
    <s v="D"/>
    <s v="Y"/>
    <s v="Y"/>
    <x v="11"/>
    <s v="JAKARTA"/>
    <x v="13"/>
    <s v="JAKART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6.88"/>
    <n v="854.86"/>
    <n v="780.19"/>
    <n v="864.81"/>
    <n v="0"/>
    <n v="0"/>
    <n v="456.88"/>
    <n v="854.86"/>
    <n v="780.19"/>
    <n v="864.81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55.8"/>
    <n v="687.8"/>
    <n v="687.8"/>
    <n v="0"/>
    <n v="0"/>
    <n v="0"/>
    <m/>
    <m/>
    <m/>
    <m/>
    <m/>
    <m/>
    <m/>
    <m/>
    <m/>
    <m/>
    <m/>
    <m/>
    <s v="TI1"/>
    <s v="AX3"/>
    <m/>
    <m/>
    <s v="S"/>
    <s v="50D16H"/>
    <n v="1187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28190003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0"/>
    <x v="0"/>
    <x v="0"/>
    <x v="7"/>
    <x v="7"/>
    <x v="7"/>
    <x v="0"/>
    <x v="0"/>
    <x v="0"/>
    <m/>
    <m/>
    <m/>
    <m/>
    <m/>
    <m/>
  </r>
  <r>
    <s v="LW"/>
    <s v="LWE"/>
    <s v="LWT"/>
    <s v="LW"/>
    <s v="AX3"/>
    <s v="E"/>
    <s v="(AGX)-KRPUS-(AX3)"/>
    <s v="64D14H"/>
    <n v="1"/>
    <s v="DR"/>
    <s v="D"/>
    <s v="Y"/>
    <s v="Y"/>
    <x v="71"/>
    <s v="JEBEL ALI"/>
    <x v="41"/>
    <s v="JEBEL AL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27.51"/>
    <n v="347.27"/>
    <n v="334.59"/>
    <n v="292.16000000000003"/>
    <n v="0"/>
    <n v="0"/>
    <n v="227.51"/>
    <n v="347.27"/>
    <n v="334.59"/>
    <n v="292.16000000000003"/>
    <n v="0"/>
    <n v="0"/>
    <s v="AEJEA"/>
    <n v="-29.726506405999999"/>
    <n v="-19.177665996999998"/>
    <n v="-38.986110023000002"/>
    <n v="-46.144688051999999"/>
    <n v="0"/>
    <n v="0"/>
    <n v="-29.726506405999999"/>
    <n v="-19.177665996999998"/>
    <n v="-38.986110023000002"/>
    <n v="-46.144688051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754.03"/>
    <n v="1050.3800000000001"/>
    <n v="1050.3800000000001"/>
    <n v="0"/>
    <n v="0"/>
    <n v="0"/>
    <m/>
    <m/>
    <m/>
    <m/>
    <m/>
    <m/>
    <m/>
    <m/>
    <m/>
    <m/>
    <m/>
    <m/>
    <s v="AGX"/>
    <s v="AX3"/>
    <m/>
    <m/>
    <s v="S"/>
    <s v="63D2H"/>
    <n v="1477"/>
    <s v="2018-09-29"/>
    <s v="Historical averaged cost."/>
    <n v="118.25071"/>
    <n v="187.78419"/>
    <n v="187.78419"/>
    <n v="187.7841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4070001"/>
    <s v="OPUS"/>
    <n v="122"/>
    <n v="244"/>
    <n v="244"/>
    <x v="0"/>
    <x v="0"/>
    <x v="0"/>
    <n v="60"/>
    <n v="120"/>
    <n v="120"/>
    <x v="0"/>
    <x v="0"/>
    <x v="0"/>
    <x v="13"/>
    <x v="13"/>
    <x v="13"/>
    <m/>
    <m/>
    <m/>
    <m/>
    <m/>
    <m/>
    <x v="15"/>
    <x v="15"/>
    <n v="4.0838996340825924"/>
    <x v="0"/>
    <x v="0"/>
    <x v="0"/>
    <x v="28"/>
    <x v="30"/>
    <x v="30"/>
    <x v="0"/>
    <x v="0"/>
    <x v="0"/>
    <m/>
    <m/>
    <m/>
    <m/>
    <m/>
    <m/>
  </r>
  <r>
    <s v="LW"/>
    <s v="LWE"/>
    <s v="LWT"/>
    <s v="LW"/>
    <s v="AX3"/>
    <s v="E"/>
    <s v="(AX2)-KRPUS-(AX3)"/>
    <s v="51D0H"/>
    <n v="2"/>
    <s v="DR"/>
    <s v="D"/>
    <s v="Y"/>
    <s v="Y"/>
    <x v="37"/>
    <s v="JIANGME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9.73"/>
    <n v="968.38"/>
    <n v="920.66"/>
    <n v="1038.3599999999999"/>
    <n v="0"/>
    <n v="0"/>
    <n v="649.73"/>
    <n v="968.38"/>
    <n v="920.66"/>
    <n v="1038.3599999999999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9D6H"/>
    <n v="1085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5D5H"/>
    <n v="1"/>
    <s v="DR"/>
    <s v="D"/>
    <s v="Y"/>
    <s v="Y"/>
    <x v="37"/>
    <s v="JIANGME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8.58"/>
    <n v="983.84"/>
    <n v="935.68"/>
    <n v="1063.99"/>
    <n v="0"/>
    <n v="0"/>
    <n v="658.58"/>
    <n v="983.84"/>
    <n v="935.68"/>
    <n v="1063.99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3D12H"/>
    <n v="1068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4D19H"/>
    <n v="3"/>
    <s v="DR"/>
    <s v="D"/>
    <s v="Y"/>
    <s v="Y"/>
    <x v="37"/>
    <s v="JIANGME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0.43"/>
    <n v="1021.7"/>
    <n v="974.64"/>
    <n v="1062.53"/>
    <n v="0"/>
    <n v="0"/>
    <n v="750.43"/>
    <n v="1021.7"/>
    <n v="974.64"/>
    <n v="1062.53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3D2H"/>
    <n v="949"/>
    <s v="2018-09-29"/>
    <s v="Historical averaged cost."/>
    <n v="110.87472"/>
    <n v="166.13449"/>
    <n v="166.13449"/>
    <n v="183.10584"/>
    <n v="0"/>
    <n v="0"/>
    <n v="45.86618"/>
    <n v="76.443640000000002"/>
    <n v="76.443640000000002"/>
    <n v="82.813940000000002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4D0H"/>
    <n v="1"/>
    <s v="DR"/>
    <s v="D"/>
    <s v="Y"/>
    <s v="Y"/>
    <x v="37"/>
    <s v="JIANGME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9.92999999999995"/>
    <n v="953.82"/>
    <n v="906.87"/>
    <n v="1015.75"/>
    <n v="0"/>
    <n v="0"/>
    <n v="639.92999999999995"/>
    <n v="953.82"/>
    <n v="906.87"/>
    <n v="1015.75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2D6H"/>
    <n v="932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4D19H"/>
    <n v="1"/>
    <s v="DR"/>
    <s v="D"/>
    <s v="Y"/>
    <s v="Y"/>
    <x v="37"/>
    <s v="JIANGME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8.44000000000005"/>
    <n v="877"/>
    <n v="829.94"/>
    <n v="913.21"/>
    <n v="0"/>
    <n v="0"/>
    <n v="648.44000000000005"/>
    <n v="877"/>
    <n v="829.94"/>
    <n v="913.21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3D2H"/>
    <n v="949"/>
    <s v="2018-09-29"/>
    <s v="Historical averaged cost."/>
    <n v="110.87472"/>
    <n v="166.13449"/>
    <n v="166.13449"/>
    <n v="183.10584"/>
    <n v="0"/>
    <n v="0"/>
    <n v="45.86618"/>
    <n v="76.443640000000002"/>
    <n v="76.443640000000002"/>
    <n v="82.813940000000002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7D8H"/>
    <n v="1"/>
    <s v="DR"/>
    <s v="D"/>
    <s v="Y"/>
    <s v="Y"/>
    <x v="37"/>
    <s v="JIANGME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7.45000000000005"/>
    <n v="910.77"/>
    <n v="862.39"/>
    <n v="985.34"/>
    <n v="0"/>
    <n v="0"/>
    <n v="607.45000000000005"/>
    <n v="910.77"/>
    <n v="862.39"/>
    <n v="985.34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5D14H"/>
    <n v="1098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8D8H"/>
    <n v="2"/>
    <s v="DR"/>
    <s v="D"/>
    <s v="Y"/>
    <s v="Y"/>
    <x v="37"/>
    <s v="JIANGME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6.61"/>
    <n v="870.48"/>
    <n v="823.09"/>
    <n v="934.7"/>
    <n v="0"/>
    <n v="0"/>
    <n v="616.61"/>
    <n v="870.48"/>
    <n v="823.09"/>
    <n v="934.7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4H"/>
    <n v="1019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8H"/>
    <n v="1"/>
    <s v="DR"/>
    <s v="D"/>
    <s v="Y"/>
    <s v="Y"/>
    <x v="37"/>
    <s v="JIANGME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6.95000000000005"/>
    <n v="848.49"/>
    <n v="801.22"/>
    <n v="916.74"/>
    <n v="0"/>
    <n v="0"/>
    <n v="596.95000000000005"/>
    <n v="848.49"/>
    <n v="801.22"/>
    <n v="916.74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5H"/>
    <n v="1008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8D8H"/>
    <n v="2"/>
    <s v="DR"/>
    <s v="D"/>
    <s v="Y"/>
    <s v="Y"/>
    <x v="37"/>
    <s v="JIANGME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4.85"/>
    <n v="892.05"/>
    <n v="844.66"/>
    <n v="956.27"/>
    <n v="0"/>
    <n v="0"/>
    <n v="594.85"/>
    <n v="892.05"/>
    <n v="844.66"/>
    <n v="956.27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4H"/>
    <n v="1019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8H"/>
    <n v="2"/>
    <s v="DR"/>
    <s v="D"/>
    <s v="Y"/>
    <s v="Y"/>
    <x v="37"/>
    <s v="JIANGME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5.17999999999995"/>
    <n v="870.07"/>
    <n v="822.79"/>
    <n v="938.31"/>
    <n v="0"/>
    <n v="0"/>
    <n v="575.17999999999995"/>
    <n v="870.07"/>
    <n v="822.79"/>
    <n v="938.31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5H"/>
    <n v="1008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1D19H"/>
    <n v="1"/>
    <s v="DR"/>
    <s v="D"/>
    <s v="Y"/>
    <s v="Y"/>
    <x v="37"/>
    <s v="JIANGME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1.89"/>
    <n v="907.94"/>
    <n v="860.12"/>
    <n v="954.52"/>
    <n v="0"/>
    <n v="0"/>
    <n v="611.89"/>
    <n v="907.94"/>
    <n v="860.12"/>
    <n v="954.52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2H"/>
    <n v="1117"/>
    <s v="2018-09-29"/>
    <s v="Historical averaged cost."/>
    <n v="110.87472"/>
    <n v="166.13449"/>
    <n v="166.13449"/>
    <n v="183.10584"/>
    <n v="0"/>
    <n v="0"/>
    <n v="45.86618"/>
    <n v="76.443640000000002"/>
    <n v="76.443640000000002"/>
    <n v="82.81394000000000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5D18H"/>
    <n v="1"/>
    <s v="DR"/>
    <s v="D"/>
    <s v="Y"/>
    <s v="Y"/>
    <x v="37"/>
    <s v="JIANGME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04999999999995"/>
    <n v="887.89"/>
    <n v="840.72"/>
    <n v="949.81"/>
    <n v="0"/>
    <n v="0"/>
    <n v="592.04999999999995"/>
    <n v="887.89"/>
    <n v="840.72"/>
    <n v="949.81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4D1H"/>
    <n v="975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8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3)"/>
    <s v="49D0H"/>
    <n v="1"/>
    <s v="DR"/>
    <s v="D"/>
    <s v="Y"/>
    <s v="Y"/>
    <x v="38"/>
    <s v="JIANGYIN, JIANGSU"/>
    <x v="3"/>
    <s v="SHANGHAI, SHANGH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2.48"/>
    <n v="836.06"/>
    <n v="595.47"/>
    <n v="4726.07"/>
    <n v="0"/>
    <n v="0"/>
    <n v="532.48"/>
    <n v="836.06"/>
    <n v="595.47"/>
    <n v="4726.07"/>
    <n v="0"/>
    <n v="0"/>
    <s v="CNJIA"/>
    <n v="164.413801804"/>
    <n v="268.76370850199999"/>
    <n v="26.433908421000002"/>
    <n v="4019.8420618730001"/>
    <n v="0"/>
    <n v="0"/>
    <n v="164.413801804"/>
    <n v="268.76370850199999"/>
    <n v="26.433908421000002"/>
    <n v="4019.842061873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3"/>
    <s v="AX3"/>
    <s v="F"/>
    <m/>
    <s v="S"/>
    <s v="47D7H"/>
    <n v="963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82301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-MXZLO-(AX3)"/>
    <s v="62D14H"/>
    <n v="3"/>
    <s v="DR"/>
    <s v="D"/>
    <s v="Y"/>
    <s v="Y"/>
    <x v="12"/>
    <s v="KAOHSI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4.32"/>
    <n v="854.34"/>
    <n v="813.85"/>
    <n v="792.36"/>
    <n v="0"/>
    <n v="0"/>
    <n v="724.32"/>
    <n v="854.34"/>
    <n v="813.85"/>
    <n v="792.36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T"/>
    <s v="60D20H"/>
    <n v="1273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25.4"/>
    <n v="25.4"/>
    <n v="25.4"/>
    <n v="1.8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401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AX1)-KRPUS-(AX3)"/>
    <s v="55D14H"/>
    <n v="1"/>
    <s v="DR"/>
    <s v="D"/>
    <s v="Y"/>
    <s v="Y"/>
    <x v="12"/>
    <s v="KAOHSI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7.29"/>
    <n v="845.39"/>
    <n v="798.74"/>
    <n v="847.81"/>
    <n v="0"/>
    <n v="0"/>
    <n v="677.29"/>
    <n v="845.39"/>
    <n v="798.74"/>
    <n v="847.81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S"/>
    <s v="53D20H"/>
    <n v="1105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401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AX3)"/>
    <s v="55D14H"/>
    <n v="2"/>
    <s v="DR"/>
    <s v="D"/>
    <s v="Y"/>
    <s v="Y"/>
    <x v="12"/>
    <s v="KAOHSI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9.05"/>
    <n v="823.82"/>
    <n v="777.17"/>
    <n v="826.24"/>
    <n v="0"/>
    <n v="0"/>
    <n v="699.05"/>
    <n v="823.82"/>
    <n v="777.17"/>
    <n v="826.24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S"/>
    <s v="53D20H"/>
    <n v="1105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401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MD3)-KRPUS-(AX3)"/>
    <s v="52D18H"/>
    <n v="1"/>
    <s v="DR"/>
    <s v="D"/>
    <s v="Y"/>
    <s v="Y"/>
    <x v="12"/>
    <s v="KAOHSIUNG CITY"/>
    <x v="26"/>
    <s v="KAOHSIUNG CITY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9.75"/>
    <n v="489.99"/>
    <n v="443.66"/>
    <n v="488.96"/>
    <n v="0"/>
    <n v="0"/>
    <n v="349.75"/>
    <n v="489.99"/>
    <n v="443.66"/>
    <n v="488.96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MD3"/>
    <s v="AX3"/>
    <m/>
    <m/>
    <s v="S"/>
    <s v="51D6H"/>
    <n v="960"/>
    <s v="2018-09-29"/>
    <s v="Historical averaged cost."/>
    <n v="68.800370000000001"/>
    <n v="77.259739999999994"/>
    <n v="77.259739999999994"/>
    <n v="77.259739999999994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401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PS4)-TWKHH-(MD3)-KRPUS-(AX3)"/>
    <s v="55D14H"/>
    <n v="1"/>
    <s v="DR"/>
    <s v="D"/>
    <s v="Y"/>
    <s v="Y"/>
    <x v="12"/>
    <s v="KAOHSI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2.99"/>
    <n v="954.2"/>
    <n v="907.54"/>
    <n v="956.62"/>
    <n v="0"/>
    <n v="0"/>
    <n v="772.99"/>
    <n v="954.2"/>
    <n v="907.54"/>
    <n v="956.62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AX3"/>
    <s v="T"/>
    <m/>
    <s v="S"/>
    <s v="53D20H"/>
    <n v="1107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25.4"/>
    <n v="25.4"/>
    <n v="25.4"/>
    <n v="1.8"/>
    <n v="0"/>
    <n v="0"/>
    <n v="0"/>
    <n v="0"/>
    <n v="0"/>
    <n v="0"/>
    <n v="0"/>
    <n v="0"/>
    <n v="199.36200199999999"/>
    <n v="255.80025459999999"/>
    <n v="255.80025459999999"/>
    <n v="255.80025459999999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401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-MXZLO-(AX3)"/>
    <s v="60D18H"/>
    <n v="3"/>
    <s v="DR"/>
    <s v="D"/>
    <s v="Y"/>
    <s v="Y"/>
    <x v="14"/>
    <s v="KEELUNG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8.31"/>
    <n v="443.32"/>
    <n v="577.77"/>
    <n v="415.2"/>
    <n v="0"/>
    <n v="0"/>
    <n v="458.31"/>
    <n v="443.32"/>
    <n v="577.77"/>
    <n v="415.2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m/>
    <m/>
    <s v="T"/>
    <s v="59D6H"/>
    <n v="1273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481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AX1)-KRPUS-(AX3)"/>
    <s v="53D18H"/>
    <n v="1"/>
    <s v="DR"/>
    <s v="D"/>
    <s v="Y"/>
    <s v="Y"/>
    <x v="14"/>
    <s v="KEELUNG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8.48"/>
    <n v="430.21"/>
    <n v="558.72"/>
    <n v="464.19"/>
    <n v="0"/>
    <n v="0"/>
    <n v="408.48"/>
    <n v="430.21"/>
    <n v="558.72"/>
    <n v="464.19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m/>
    <m/>
    <s v="S"/>
    <s v="52D6H"/>
    <n v="1105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481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MD3)-KRPUS-(AX3)"/>
    <s v="53D10H"/>
    <n v="1"/>
    <s v="DR"/>
    <s v="D"/>
    <s v="Y"/>
    <s v="Y"/>
    <x v="14"/>
    <s v="KEELUNG"/>
    <x v="26"/>
    <s v="KAOHSIUNG CITY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20000000000005"/>
    <n v="622.27"/>
    <n v="750.89"/>
    <n v="655.09"/>
    <n v="0"/>
    <n v="0"/>
    <n v="621.20000000000005"/>
    <n v="622.27"/>
    <n v="750.89"/>
    <n v="655.09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MD3"/>
    <s v="AX3"/>
    <s v="T"/>
    <m/>
    <s v="S"/>
    <s v="51D16H"/>
    <n v="960"/>
    <s v="2018-09-29"/>
    <s v="Historical averaged cost."/>
    <n v="81.980369999999994"/>
    <n v="95.711740000000006"/>
    <n v="95.711740000000006"/>
    <n v="95.711740000000006"/>
    <n v="0"/>
    <n v="0"/>
    <n v="216.82631000000001"/>
    <n v="216.82631000000001"/>
    <n v="216.82631000000001"/>
    <n v="216.82631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481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JVH)-TWKHH-(MD3)-KRPUS-(AX3)"/>
    <s v="58D18H"/>
    <n v="1"/>
    <s v="DR"/>
    <s v="D"/>
    <s v="Y"/>
    <s v="Y"/>
    <x v="14"/>
    <s v="KEELUNG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5.99"/>
    <n v="512.16999999999996"/>
    <n v="640.13"/>
    <n v="551.9"/>
    <n v="0"/>
    <n v="0"/>
    <n v="485.99"/>
    <n v="512.16999999999996"/>
    <n v="640.13"/>
    <n v="551.9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AX3"/>
    <m/>
    <m/>
    <s v="S"/>
    <s v="57D6H"/>
    <n v="1137"/>
    <s v="2018-09-29"/>
    <s v="Historical averaged cost."/>
    <n v="70.919120000000007"/>
    <n v="105.61523"/>
    <n v="105.61523"/>
    <n v="105.61523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87.95009099999999"/>
    <n v="231.34615959999999"/>
    <n v="231.34615959999999"/>
    <n v="231.34615959999999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481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AX3)"/>
    <s v="53D18H"/>
    <n v="2"/>
    <s v="DR"/>
    <s v="D"/>
    <s v="Y"/>
    <s v="Y"/>
    <x v="14"/>
    <s v="KEELUNG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0.24"/>
    <n v="408.64"/>
    <n v="537.15"/>
    <n v="442.62"/>
    <n v="0"/>
    <n v="0"/>
    <n v="430.24"/>
    <n v="408.64"/>
    <n v="537.15"/>
    <n v="442.62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m/>
    <m/>
    <s v="S"/>
    <s v="52D6H"/>
    <n v="1105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481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PS4)-TWKHH-(MD3)-KRPUS-(AX3)"/>
    <s v="53D18H"/>
    <n v="1"/>
    <s v="DR"/>
    <s v="D"/>
    <s v="Y"/>
    <s v="Y"/>
    <x v="14"/>
    <s v="KEELUNG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4.18"/>
    <n v="539.01"/>
    <n v="667.52"/>
    <n v="572.99"/>
    <n v="0"/>
    <n v="0"/>
    <n v="504.18"/>
    <n v="539.01"/>
    <n v="667.52"/>
    <n v="572.99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AX3"/>
    <m/>
    <m/>
    <s v="S"/>
    <s v="52D6H"/>
    <n v="1107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99.36200199999999"/>
    <n v="255.80025459999999"/>
    <n v="255.80025459999999"/>
    <n v="255.80025459999999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2481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TI1)-SGSIN-(AGX)-KRPUS-(AX3)"/>
    <s v="59D20H"/>
    <n v="1"/>
    <s v="DR"/>
    <s v="D"/>
    <s v="Y"/>
    <s v="Y"/>
    <x v="39"/>
    <s v="LAEM CHABANG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7.13"/>
    <n v="722.73"/>
    <n v="694.95"/>
    <n v="715.81"/>
    <n v="0"/>
    <n v="0"/>
    <n v="537.13"/>
    <n v="722.73"/>
    <n v="694.95"/>
    <n v="715.81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m/>
    <m/>
    <s v="S"/>
    <s v="58D8H"/>
    <n v="1394"/>
    <s v="2018-09-29"/>
    <s v="Historical averaged cost."/>
    <n v="51.120350000000002"/>
    <n v="81.799880000000002"/>
    <n v="81.799880000000002"/>
    <n v="86.908069999999995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890003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TI1)-SGSIN-(CSW)-CNSHA-(AX3)"/>
    <s v="66D20H"/>
    <n v="2"/>
    <s v="DR"/>
    <s v="D"/>
    <s v="Y"/>
    <s v="Y"/>
    <x v="39"/>
    <s v="LAEM CHABANG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1.23"/>
    <n v="640.29999999999995"/>
    <n v="619.79999999999995"/>
    <n v="504.09"/>
    <n v="0"/>
    <n v="0"/>
    <n v="481.23"/>
    <n v="640.29999999999995"/>
    <n v="619.79999999999995"/>
    <n v="504.09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m/>
    <m/>
    <s v="S"/>
    <s v="65D8H"/>
    <n v="1562"/>
    <s v="2018-09-29"/>
    <s v="Historical averaged cost."/>
    <n v="51.120350000000002"/>
    <n v="81.799880000000002"/>
    <n v="81.799880000000002"/>
    <n v="86.908069999999995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79.99859658000003"/>
    <n v="337.59739728"/>
    <n v="338.28739727999999"/>
    <n v="277.3039625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89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PN2)-TWKHH-(MD3)-KRPUS-(AX3)"/>
    <s v="51D18H"/>
    <n v="1"/>
    <s v="DR"/>
    <s v="D"/>
    <s v="Y"/>
    <s v="Y"/>
    <x v="39"/>
    <s v="LAEM CHABANG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0.32"/>
    <n v="693.47"/>
    <n v="666.56"/>
    <n v="680.72"/>
    <n v="0"/>
    <n v="0"/>
    <n v="490.32"/>
    <n v="693.47"/>
    <n v="666.56"/>
    <n v="680.72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PN2"/>
    <s v="AX3"/>
    <m/>
    <m/>
    <s v="S"/>
    <s v="50D6H"/>
    <n v="1182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99.36200199999999"/>
    <n v="255.80025459999999"/>
    <n v="255.80025459999999"/>
    <n v="255.80025459999999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89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TI1)-SGSIN-(CSW)-KRPUS-(AX3)"/>
    <s v="59D20H"/>
    <n v="1"/>
    <s v="DR"/>
    <s v="D"/>
    <s v="Y"/>
    <s v="Y"/>
    <x v="39"/>
    <s v="LAEM CHABANG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7.80999999999995"/>
    <n v="792.82"/>
    <n v="765.03"/>
    <n v="788.21"/>
    <n v="0"/>
    <n v="0"/>
    <n v="587.80999999999995"/>
    <n v="792.82"/>
    <n v="765.03"/>
    <n v="788.21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m/>
    <m/>
    <s v="S"/>
    <s v="58D8H"/>
    <n v="1394"/>
    <s v="2018-09-29"/>
    <s v="Historical averaged cost."/>
    <n v="51.120350000000002"/>
    <n v="81.799880000000002"/>
    <n v="81.799880000000002"/>
    <n v="86.908069999999995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89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TI1)-SGSIN-(MD2)-KRPUS-(AX3)"/>
    <s v="59D20H"/>
    <n v="2"/>
    <s v="DR"/>
    <s v="D"/>
    <s v="Y"/>
    <s v="Y"/>
    <x v="39"/>
    <s v="LAEM CHABANG"/>
    <x v="27"/>
    <s v="LAEM CHAB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7.13"/>
    <n v="722.73"/>
    <n v="694.95"/>
    <n v="715.81"/>
    <n v="0"/>
    <n v="0"/>
    <n v="537.13"/>
    <n v="722.73"/>
    <n v="694.95"/>
    <n v="715.81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3.2"/>
    <n v="700.27"/>
    <n v="700.27"/>
    <n v="0"/>
    <n v="0"/>
    <n v="0"/>
    <m/>
    <m/>
    <m/>
    <m/>
    <m/>
    <m/>
    <m/>
    <m/>
    <m/>
    <m/>
    <m/>
    <m/>
    <s v="TI1"/>
    <s v="AX3"/>
    <m/>
    <m/>
    <s v="S"/>
    <s v="58D8H"/>
    <n v="1394"/>
    <s v="2018-09-29"/>
    <s v="Historical averaged cost."/>
    <n v="51.120350000000002"/>
    <n v="81.799880000000002"/>
    <n v="81.799880000000002"/>
    <n v="86.908069999999995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89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0"/>
    <x v="0"/>
    <x v="0"/>
    <x v="18"/>
    <x v="20"/>
    <x v="20"/>
    <x v="0"/>
    <x v="0"/>
    <x v="0"/>
    <m/>
    <m/>
    <m/>
    <m/>
    <m/>
    <m/>
  </r>
  <r>
    <s v="LW"/>
    <s v="LWE"/>
    <s v="LWT"/>
    <s v="LW"/>
    <s v="AX3"/>
    <s v="E"/>
    <s v="(AX3)"/>
    <s v="49D0H"/>
    <n v="1"/>
    <s v="DR"/>
    <s v="D"/>
    <s v="Y"/>
    <s v="Y"/>
    <x v="42"/>
    <s v="LIANYUNGANG, JIANGSU"/>
    <x v="4"/>
    <s v="NINGBO, ZHEJI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9.79999999999995"/>
    <n v="897.56"/>
    <n v="874.27"/>
    <n v="1099.5899999999999"/>
    <n v="0"/>
    <n v="0"/>
    <n v="579.79999999999995"/>
    <n v="897.56"/>
    <n v="874.27"/>
    <n v="1099.5899999999999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6.23"/>
    <n v="721.83"/>
    <n v="721.83"/>
    <n v="0"/>
    <n v="0"/>
    <n v="0"/>
    <m/>
    <m/>
    <m/>
    <m/>
    <m/>
    <m/>
    <m/>
    <m/>
    <m/>
    <m/>
    <m/>
    <m/>
    <s v="AX3"/>
    <s v="AX3"/>
    <s v="F"/>
    <m/>
    <s v="S"/>
    <s v="47D6H"/>
    <n v="993"/>
    <s v="2018-09-29"/>
    <s v="Historical averaged cost."/>
    <n v="21.89311"/>
    <n v="32.839919999999999"/>
    <n v="32.839919999999999"/>
    <n v="46.555990000000001"/>
    <n v="0"/>
    <n v="0"/>
    <n v="190.19612000000001"/>
    <n v="351.13130000000001"/>
    <n v="351.13130000000001"/>
    <n v="438.91413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297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45D0H"/>
    <n v="1"/>
    <s v="DR"/>
    <s v="D"/>
    <s v="Y"/>
    <s v="Y"/>
    <x v="42"/>
    <s v="LIANYUNGANG, JIANGSU"/>
    <x v="3"/>
    <s v="SHANGHAI, SHANGH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1.26"/>
    <n v="1058.98"/>
    <n v="1036.1199999999999"/>
    <n v="1285.6400000000001"/>
    <n v="0"/>
    <n v="0"/>
    <n v="661.26"/>
    <n v="1058.98"/>
    <n v="1036.1199999999999"/>
    <n v="1285.640000000000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6.23"/>
    <n v="721.83"/>
    <n v="721.83"/>
    <n v="0"/>
    <n v="0"/>
    <n v="0"/>
    <m/>
    <m/>
    <m/>
    <m/>
    <m/>
    <m/>
    <m/>
    <m/>
    <m/>
    <m/>
    <m/>
    <m/>
    <s v="AX3"/>
    <s v="AX3"/>
    <s v="F"/>
    <m/>
    <s v="S"/>
    <s v="43D7H"/>
    <n v="963"/>
    <s v="2018-09-29"/>
    <s v="Historical averaged cost."/>
    <n v="99.140680000000003"/>
    <n v="148.71053000000001"/>
    <n v="148.71053000000001"/>
    <n v="179.43451999999999"/>
    <n v="0"/>
    <n v="0"/>
    <n v="200"/>
    <n v="405"/>
    <n v="405"/>
    <n v="505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297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42D17H"/>
    <n v="1"/>
    <s v="DR"/>
    <s v="D"/>
    <s v="Y"/>
    <s v="Y"/>
    <x v="42"/>
    <s v="LIANYUNGANG, JIANGSU"/>
    <x v="18"/>
    <s v="QINGDAO, SHAN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6.73"/>
    <n v="829.24"/>
    <n v="806.6"/>
    <n v="1002.98"/>
    <n v="0"/>
    <n v="0"/>
    <n v="556.73"/>
    <n v="829.24"/>
    <n v="806.6"/>
    <n v="1002.98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AX3"/>
    <s v="AX3"/>
    <s v="F"/>
    <m/>
    <s v="S"/>
    <s v="40D23H"/>
    <n v="874"/>
    <s v="2018-09-29"/>
    <s v="Historical averaged cost."/>
    <n v="72.417259999999999"/>
    <n v="108.12639"/>
    <n v="108.12639"/>
    <n v="143.23952"/>
    <n v="0"/>
    <n v="0"/>
    <n v="125"/>
    <n v="220"/>
    <n v="220"/>
    <n v="265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297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3"/>
    <s v="E"/>
    <s v="(9CC)-KRPUS-(AX3)"/>
    <s v="40D18H"/>
    <n v="1"/>
    <s v="DR"/>
    <s v="D"/>
    <s v="Y"/>
    <s v="Y"/>
    <x v="42"/>
    <s v="LIANYUNGANG, JIANGSU"/>
    <x v="28"/>
    <s v="LIANYUNGANG, JIANGSU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0.6"/>
    <n v="949.06"/>
    <n v="926.65"/>
    <n v="1086.6500000000001"/>
    <n v="0"/>
    <n v="0"/>
    <n v="630.6"/>
    <n v="949.06"/>
    <n v="926.65"/>
    <n v="1086.6500000000001"/>
    <n v="0"/>
    <n v="0"/>
    <s v="CNLYG"/>
    <n v="263.79000000000002"/>
    <n v="380.00303331600003"/>
    <n v="354.97127144500001"/>
    <n v="452.32946615200001"/>
    <n v="0"/>
    <n v="0"/>
    <n v="263.79000000000002"/>
    <n v="380.00303331600003"/>
    <n v="354.97127144500001"/>
    <n v="452.32946615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9CC"/>
    <s v="AX3"/>
    <m/>
    <m/>
    <s v="S"/>
    <s v="39D6H"/>
    <n v="923"/>
    <s v="2018-09-29"/>
    <s v="Historical averaged cost."/>
    <n v="0"/>
    <n v="0"/>
    <n v="0"/>
    <n v="0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26.086927"/>
    <n v="165.3622613"/>
    <n v="165.3622613"/>
    <n v="165.3622613"/>
    <n v="0"/>
    <n v="0"/>
    <n v="148"/>
    <n v="286.75"/>
    <n v="286.75"/>
    <n v="333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0297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1"/>
    <s v="E"/>
    <s v="(AX1)-MXZLO-(AX3)"/>
    <s v="47D12H"/>
    <n v="2"/>
    <s v="DR"/>
    <s v="D"/>
    <s v="Y"/>
    <s v="Y"/>
    <x v="15"/>
    <s v="NANSHA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39"/>
    <n v="617.46"/>
    <n v="793.15"/>
    <n v="712.19"/>
    <n v="0"/>
    <n v="0"/>
    <n v="568.39"/>
    <n v="617.46"/>
    <n v="793.15"/>
    <n v="712.19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8H"/>
    <n v="1019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3D5H"/>
    <n v="1"/>
    <s v="DR"/>
    <s v="D"/>
    <s v="Y"/>
    <s v="Y"/>
    <x v="15"/>
    <s v="NANSHA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1.88"/>
    <n v="602.65"/>
    <n v="777.79"/>
    <n v="688.14"/>
    <n v="0"/>
    <n v="0"/>
    <n v="531.88"/>
    <n v="602.65"/>
    <n v="777.79"/>
    <n v="688.14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1D12H"/>
    <n v="1117"/>
    <s v="2018-09-29"/>
    <s v="Historical averaged cost."/>
    <n v="110.87472"/>
    <n v="166.13449"/>
    <n v="166.13449"/>
    <n v="183.10584"/>
    <n v="0"/>
    <n v="0"/>
    <n v="37.71219"/>
    <n v="56.695700000000002"/>
    <n v="56.695700000000002"/>
    <n v="64.59487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4H"/>
    <n v="1"/>
    <s v="DR"/>
    <s v="D"/>
    <s v="Y"/>
    <s v="Y"/>
    <x v="15"/>
    <s v="NANSHA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0.29999999999995"/>
    <n v="698.71"/>
    <n v="874.96"/>
    <n v="790.01"/>
    <n v="0"/>
    <n v="0"/>
    <n v="590.29999999999995"/>
    <n v="698.71"/>
    <n v="874.96"/>
    <n v="790.01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10H"/>
    <n v="932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4H"/>
    <n v="2"/>
    <s v="DR"/>
    <s v="D"/>
    <s v="Y"/>
    <s v="Y"/>
    <x v="15"/>
    <s v="NANSHA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0.1"/>
    <n v="713.27"/>
    <n v="888.75"/>
    <n v="812.62"/>
    <n v="0"/>
    <n v="0"/>
    <n v="600.1"/>
    <n v="713.27"/>
    <n v="888.75"/>
    <n v="812.62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10H"/>
    <n v="1085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8H"/>
    <n v="2"/>
    <s v="DR"/>
    <s v="D"/>
    <s v="Y"/>
    <s v="Y"/>
    <x v="15"/>
    <s v="NANSHA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0.07000000000005"/>
    <n v="603.28"/>
    <n v="779.09"/>
    <n v="696.3"/>
    <n v="0"/>
    <n v="0"/>
    <n v="520.07000000000005"/>
    <n v="603.28"/>
    <n v="779.09"/>
    <n v="696.3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5H"/>
    <n v="1008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12H"/>
    <n v="2"/>
    <s v="DR"/>
    <s v="D"/>
    <s v="Y"/>
    <s v="Y"/>
    <x v="15"/>
    <s v="NANSHA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6.62"/>
    <n v="639.03"/>
    <n v="814.72"/>
    <n v="733.76"/>
    <n v="0"/>
    <n v="0"/>
    <n v="546.62"/>
    <n v="639.03"/>
    <n v="814.72"/>
    <n v="733.76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8H"/>
    <n v="1019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8H"/>
    <n v="1"/>
    <s v="DR"/>
    <s v="D"/>
    <s v="Y"/>
    <s v="Y"/>
    <x v="15"/>
    <s v="NANSHA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1.84"/>
    <n v="581.71"/>
    <n v="757.52"/>
    <n v="674.73"/>
    <n v="0"/>
    <n v="0"/>
    <n v="541.84"/>
    <n v="581.71"/>
    <n v="757.52"/>
    <n v="674.73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5H"/>
    <n v="1008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12H"/>
    <n v="1"/>
    <s v="DR"/>
    <s v="D"/>
    <s v="Y"/>
    <s v="Y"/>
    <x v="15"/>
    <s v="NANSHA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9.22"/>
    <n v="657.75"/>
    <n v="832.45"/>
    <n v="762.83"/>
    <n v="0"/>
    <n v="0"/>
    <n v="559.22"/>
    <n v="657.75"/>
    <n v="832.45"/>
    <n v="762.83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4D18H"/>
    <n v="1098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9H"/>
    <n v="1"/>
    <s v="DR"/>
    <s v="D"/>
    <s v="Y"/>
    <s v="Y"/>
    <x v="15"/>
    <s v="NANSHA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8.95000000000005"/>
    <n v="728.73"/>
    <n v="903.77"/>
    <n v="838.24"/>
    <n v="0"/>
    <n v="0"/>
    <n v="608.95000000000005"/>
    <n v="728.73"/>
    <n v="903.77"/>
    <n v="838.24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2D16H"/>
    <n v="1068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6D5H"/>
    <n v="1"/>
    <s v="DR"/>
    <s v="D"/>
    <s v="Y"/>
    <s v="Y"/>
    <x v="15"/>
    <s v="NANSHA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42999999999995"/>
    <n v="571.70000000000005"/>
    <n v="747.62"/>
    <n v="646.83000000000004"/>
    <n v="0"/>
    <n v="0"/>
    <n v="568.42999999999995"/>
    <n v="571.70000000000005"/>
    <n v="747.62"/>
    <n v="646.83000000000004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4D12H"/>
    <n v="949"/>
    <s v="2018-09-29"/>
    <s v="Historical averaged cost."/>
    <n v="110.87472"/>
    <n v="166.13449"/>
    <n v="166.13449"/>
    <n v="183.10584"/>
    <n v="0"/>
    <n v="0"/>
    <n v="37.71219"/>
    <n v="56.695700000000002"/>
    <n v="56.695700000000002"/>
    <n v="64.59487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6D5H"/>
    <n v="3"/>
    <s v="DR"/>
    <s v="D"/>
    <s v="Y"/>
    <s v="Y"/>
    <x v="15"/>
    <s v="NANSHA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0.42"/>
    <n v="716.4"/>
    <n v="892.32"/>
    <n v="796.16"/>
    <n v="0"/>
    <n v="0"/>
    <n v="670.42"/>
    <n v="716.4"/>
    <n v="892.32"/>
    <n v="796.16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4D12H"/>
    <n v="949"/>
    <s v="2018-09-29"/>
    <s v="Historical averaged cost."/>
    <n v="110.87472"/>
    <n v="166.13449"/>
    <n v="166.13449"/>
    <n v="183.10584"/>
    <n v="0"/>
    <n v="0"/>
    <n v="37.71219"/>
    <n v="56.695700000000002"/>
    <n v="56.695700000000002"/>
    <n v="64.59487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4D22H"/>
    <n v="1"/>
    <s v="DR"/>
    <s v="D"/>
    <s v="Y"/>
    <s v="Y"/>
    <x v="15"/>
    <s v="NANSHA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2.41999999999996"/>
    <n v="632.79"/>
    <n v="808.81"/>
    <n v="724.07"/>
    <n v="0"/>
    <n v="0"/>
    <n v="542.41999999999996"/>
    <n v="632.79"/>
    <n v="808.81"/>
    <n v="724.07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5H"/>
    <n v="975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9712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3)"/>
    <s v="49D0H"/>
    <n v="1"/>
    <s v="DR"/>
    <s v="D"/>
    <s v="Y"/>
    <s v="Y"/>
    <x v="45"/>
    <s v="NANTONG, JIANGSU"/>
    <x v="3"/>
    <s v="SHANGHAI, SHANGH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3.80999999999995"/>
    <n v="953.25"/>
    <n v="906"/>
    <n v="4726.07"/>
    <n v="0"/>
    <n v="0"/>
    <n v="613.80999999999995"/>
    <n v="953.25"/>
    <n v="906"/>
    <n v="4726.07"/>
    <n v="0"/>
    <n v="0"/>
    <s v="CNNTG"/>
    <n v="245.74475320900001"/>
    <n v="385.95444586399998"/>
    <n v="336.96345893099999"/>
    <n v="4019.8420618730001"/>
    <n v="0"/>
    <n v="0"/>
    <n v="245.74475320900001"/>
    <n v="385.95444586399998"/>
    <n v="336.96345893099999"/>
    <n v="4019.842061873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3"/>
    <s v="AX3"/>
    <s v="F"/>
    <m/>
    <s v="S"/>
    <s v="47D7H"/>
    <n v="963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30013684894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3"/>
    <s v="E"/>
    <s v="(PS3)-SGSIN-(MD2)-KRPUS-(AX3)"/>
    <s v="67D1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4.25"/>
    <n v="430.22"/>
    <n v="353.13"/>
    <n v="4445.16"/>
    <n v="0"/>
    <n v="0"/>
    <n v="384.25"/>
    <n v="430.22"/>
    <n v="353.13"/>
    <n v="4445.1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AX3"/>
    <m/>
    <m/>
    <s v="S"/>
    <s v="65D13H"/>
    <n v="1536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TIP)-SGSIN-(NX2)-KRPUS-(AX3)"/>
    <s v="63D14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4.25"/>
    <n v="430.22"/>
    <n v="353.13"/>
    <n v="4445.16"/>
    <n v="0"/>
    <n v="0"/>
    <n v="384.25"/>
    <n v="430.22"/>
    <n v="353.13"/>
    <n v="4445.1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AX3"/>
    <m/>
    <m/>
    <s v="S"/>
    <s v="62D2H"/>
    <n v="1457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CI2)-CNNGB-(AX3)"/>
    <s v="74D8H"/>
    <n v="2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86.96"/>
    <n v="216.91"/>
    <n v="139.81"/>
    <n v="4252.04"/>
    <n v="0"/>
    <n v="0"/>
    <n v="186.96"/>
    <n v="216.91"/>
    <n v="139.81"/>
    <n v="4252.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AX3"/>
    <m/>
    <m/>
    <s v="S"/>
    <s v="72D20H"/>
    <n v="1670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43.922224630000002"/>
    <n v="65.883836939999995"/>
    <n v="65.883836939999995"/>
    <n v="93.31597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3"/>
    <s v="E"/>
    <s v="(PS3)-SGSIN-(CSW)-KRPUS-(AX3)"/>
    <s v="60D1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4.93"/>
    <n v="500.3"/>
    <n v="423.21"/>
    <n v="4517.5600000000004"/>
    <n v="0"/>
    <n v="0"/>
    <n v="434.93"/>
    <n v="500.3"/>
    <n v="423.21"/>
    <n v="4517.56000000000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AX3"/>
    <m/>
    <m/>
    <s v="S"/>
    <s v="58D13H"/>
    <n v="1368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CI2)-HKHKG-(MD1)-KRPUS-(AX3)"/>
    <s v="67D8H"/>
    <n v="2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2.4"/>
    <n v="518.02"/>
    <n v="440.93"/>
    <n v="4565.3500000000004"/>
    <n v="0"/>
    <n v="0"/>
    <n v="392.4"/>
    <n v="518.02"/>
    <n v="440.93"/>
    <n v="4565.35000000000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AX3"/>
    <m/>
    <m/>
    <s v="S"/>
    <s v="65D20H"/>
    <n v="1502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49.35974375000001"/>
    <n v="367.00032721999997"/>
    <n v="367.00032721999997"/>
    <n v="406.6236118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3"/>
    <s v="E"/>
    <s v="(TIP)-SGSIN-(MD3)-KRPUS-(AX3)"/>
    <s v="63D14H"/>
    <n v="2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4.25"/>
    <n v="430.22"/>
    <n v="353.13"/>
    <n v="4445.16"/>
    <n v="0"/>
    <n v="0"/>
    <n v="384.25"/>
    <n v="430.22"/>
    <n v="353.13"/>
    <n v="4445.1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AX3"/>
    <m/>
    <m/>
    <s v="S"/>
    <s v="62D2H"/>
    <n v="1457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TIP)-SGSIN-(MD2)-KRPUS-(AX3)"/>
    <s v="63D14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4.25"/>
    <n v="430.22"/>
    <n v="353.13"/>
    <n v="4445.16"/>
    <n v="0"/>
    <n v="0"/>
    <n v="384.25"/>
    <n v="430.22"/>
    <n v="353.13"/>
    <n v="4445.1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AX3"/>
    <m/>
    <m/>
    <s v="S"/>
    <s v="62D2H"/>
    <n v="1457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TIP)-MYPKG-(NX2)-KRPUS-(AX3)"/>
    <s v="63D14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41.61"/>
    <n v="449.94"/>
    <n v="372.85"/>
    <n v="4443.8"/>
    <n v="0"/>
    <n v="0"/>
    <n v="341.61"/>
    <n v="449.94"/>
    <n v="372.85"/>
    <n v="4443.8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AX3"/>
    <m/>
    <m/>
    <s v="S"/>
    <s v="62D2H"/>
    <n v="1457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PS3)-SGSIN-(NX2)-KRPUS-(AX3)"/>
    <s v="60D1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4.25"/>
    <n v="430.22"/>
    <n v="353.13"/>
    <n v="4445.16"/>
    <n v="0"/>
    <n v="0"/>
    <n v="384.25"/>
    <n v="430.22"/>
    <n v="353.13"/>
    <n v="4445.1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AX3"/>
    <m/>
    <m/>
    <s v="S"/>
    <s v="58D13H"/>
    <n v="1368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TIP)-SGSIN-(CSW)-KRPUS-(AX3)"/>
    <s v="63D14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4.93"/>
    <n v="500.3"/>
    <n v="423.21"/>
    <n v="4517.5600000000004"/>
    <n v="0"/>
    <n v="0"/>
    <n v="434.93"/>
    <n v="500.3"/>
    <n v="423.21"/>
    <n v="4517.56000000000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TIP"/>
    <s v="AX3"/>
    <m/>
    <m/>
    <s v="S"/>
    <s v="62D2H"/>
    <n v="1457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PS3)-SGSIN-(MD3)-KRPUS-(AX3)"/>
    <s v="60D1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84.25"/>
    <n v="430.22"/>
    <n v="353.13"/>
    <n v="4445.16"/>
    <n v="0"/>
    <n v="0"/>
    <n v="384.25"/>
    <n v="430.22"/>
    <n v="353.13"/>
    <n v="4445.1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78.62"/>
    <n v="718.21"/>
    <n v="718.21"/>
    <n v="0"/>
    <n v="0"/>
    <n v="0"/>
    <m/>
    <m/>
    <m/>
    <m/>
    <m/>
    <m/>
    <m/>
    <m/>
    <m/>
    <m/>
    <m/>
    <m/>
    <s v="PS3"/>
    <s v="AX3"/>
    <m/>
    <m/>
    <s v="S"/>
    <s v="58D13H"/>
    <n v="1368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0"/>
    <x v="10"/>
    <x v="10"/>
    <x v="0"/>
    <x v="0"/>
    <x v="0"/>
    <m/>
    <m/>
    <m/>
    <m/>
    <m/>
    <m/>
  </r>
  <r>
    <s v="LW"/>
    <s v="LWE"/>
    <s v="LWT"/>
    <s v="LW"/>
    <s v="AX3"/>
    <s v="E"/>
    <s v="(CI2)-HKHKG-(NX2)-KRPUS-(AX3)"/>
    <s v="67D8H"/>
    <n v="1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2.4"/>
    <n v="518.02"/>
    <n v="440.93"/>
    <n v="4565.3500000000004"/>
    <n v="0"/>
    <n v="0"/>
    <n v="392.4"/>
    <n v="518.02"/>
    <n v="440.93"/>
    <n v="4565.3500000000004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CI2"/>
    <s v="AX3"/>
    <m/>
    <m/>
    <s v="S"/>
    <s v="65D20H"/>
    <n v="1502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49.35974375000001"/>
    <n v="367.00032721999997"/>
    <n v="367.00032721999997"/>
    <n v="406.6236118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3"/>
    <s v="E"/>
    <s v="(NCI)-CNTAO-(AX3)"/>
    <s v="73D0H"/>
    <n v="2"/>
    <s v="DR"/>
    <s v="D"/>
    <s v="Y"/>
    <s v="Y"/>
    <x v="16"/>
    <s v="NHAVA SHEVA"/>
    <x v="0"/>
    <s v="NHAVA SHEVA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16.7"/>
    <n v="261.02"/>
    <n v="183.93"/>
    <n v="4303.83"/>
    <n v="0"/>
    <n v="0"/>
    <n v="216.7"/>
    <n v="261.02"/>
    <n v="183.93"/>
    <n v="4303.8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8.93"/>
    <n v="748.08"/>
    <n v="748.08"/>
    <n v="0"/>
    <n v="0"/>
    <n v="0"/>
    <m/>
    <m/>
    <m/>
    <m/>
    <m/>
    <m/>
    <m/>
    <m/>
    <m/>
    <m/>
    <m/>
    <m/>
    <s v="NCI"/>
    <s v="AX3"/>
    <m/>
    <m/>
    <s v="S"/>
    <s v="71D12H"/>
    <n v="1646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73.663260840000007"/>
    <n v="109.99439128"/>
    <n v="109.99439128"/>
    <n v="145.1075217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s v="Y"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5116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0"/>
    <x v="0"/>
    <x v="0"/>
    <x v="11"/>
    <x v="11"/>
    <x v="11"/>
    <x v="0"/>
    <x v="0"/>
    <x v="0"/>
    <m/>
    <m/>
    <m/>
    <m/>
    <m/>
    <m/>
  </r>
  <r>
    <s v="LW"/>
    <s v="LWE"/>
    <s v="LWT"/>
    <s v="LW"/>
    <s v="AX3"/>
    <s v="E"/>
    <s v="(AX3)"/>
    <s v="44D18H"/>
    <n v="1"/>
    <s v="DR"/>
    <s v="D"/>
    <s v="Y"/>
    <s v="Y"/>
    <x v="17"/>
    <s v="NINGBO, ZHEJIANG"/>
    <x v="4"/>
    <s v="NINGBO, ZHEJI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9.02"/>
    <n v="488.54"/>
    <n v="470.45"/>
    <n v="561.19000000000005"/>
    <n v="0"/>
    <n v="0"/>
    <n v="329.02"/>
    <n v="488.54"/>
    <n v="470.45"/>
    <n v="561.19000000000005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94"/>
    <n v="723.44"/>
    <n v="723.44"/>
    <n v="0"/>
    <n v="0"/>
    <n v="0"/>
    <m/>
    <m/>
    <m/>
    <m/>
    <m/>
    <m/>
    <m/>
    <m/>
    <m/>
    <m/>
    <m/>
    <m/>
    <s v="AX3"/>
    <s v="AX3"/>
    <m/>
    <m/>
    <s v="S"/>
    <s v="43D6H"/>
    <n v="993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275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2"/>
    <x v="12"/>
    <x v="12"/>
    <x v="0"/>
    <x v="0"/>
    <x v="0"/>
    <m/>
    <m/>
    <m/>
    <m/>
    <m/>
    <m/>
  </r>
  <r>
    <s v="LW"/>
    <s v="LWE"/>
    <s v="LWT"/>
    <s v="LW"/>
    <s v="AX3"/>
    <s v="E"/>
    <s v="(NX2)-KRPUS-(AX3)"/>
    <s v="49D5H"/>
    <n v="1"/>
    <s v="DR"/>
    <s v="D"/>
    <s v="Y"/>
    <s v="Y"/>
    <x v="47"/>
    <s v="PORT KLANG"/>
    <x v="30"/>
    <s v="PORT KL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69.39999999999998"/>
    <n v="556.87"/>
    <n v="409.91"/>
    <n v="779.1"/>
    <n v="0"/>
    <n v="0"/>
    <n v="269.39999999999998"/>
    <n v="556.87"/>
    <n v="409.91"/>
    <n v="779.1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NX2"/>
    <s v="AX3"/>
    <m/>
    <m/>
    <s v="S"/>
    <s v="47D17H"/>
    <n v="1115"/>
    <s v="2018-09-29"/>
    <s v="Historical averaged cost."/>
    <n v="68.94359"/>
    <n v="104.02915"/>
    <n v="104.02915"/>
    <n v="124.38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8873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LW"/>
    <s v="AX3"/>
    <s v="E"/>
    <s v="(AGX)-KRPUS-(AX3)"/>
    <s v="52D19H"/>
    <n v="1"/>
    <s v="DR"/>
    <s v="D"/>
    <s v="Y"/>
    <s v="Y"/>
    <x v="47"/>
    <s v="PORT KLANG"/>
    <x v="30"/>
    <s v="PORT KLA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275"/>
    <n v="565.19000000000005"/>
    <n v="417.79"/>
    <n v="792.02"/>
    <n v="0"/>
    <n v="0"/>
    <n v="275"/>
    <n v="565.19000000000005"/>
    <n v="417.79"/>
    <n v="792.02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4.92"/>
    <n v="723.53"/>
    <n v="723.53"/>
    <n v="0"/>
    <n v="0"/>
    <n v="0"/>
    <m/>
    <m/>
    <m/>
    <m/>
    <m/>
    <m/>
    <m/>
    <m/>
    <m/>
    <m/>
    <m/>
    <m/>
    <s v="AGX"/>
    <s v="AX3"/>
    <m/>
    <m/>
    <s v="S"/>
    <s v="51D7H"/>
    <n v="1204"/>
    <s v="2018-09-29"/>
    <s v="Historical averaged cost."/>
    <n v="68.94359"/>
    <n v="104.02915"/>
    <n v="104.02915"/>
    <n v="124.389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8873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0"/>
    <x v="0"/>
    <x v="0"/>
    <x v="13"/>
    <x v="13"/>
    <x v="13"/>
    <x v="0"/>
    <x v="0"/>
    <x v="0"/>
    <m/>
    <m/>
    <m/>
    <m/>
    <m/>
    <m/>
  </r>
  <r>
    <s v="LW"/>
    <s v="LWE"/>
    <s v="LWT"/>
    <s v="WI"/>
    <s v="GPX"/>
    <s v="N"/>
    <s v="(AX1)-PECLL-(GPX)"/>
    <s v="35D0H"/>
    <n v="3"/>
    <s v="DR"/>
    <s v="D"/>
    <s v="Y"/>
    <s v="Y"/>
    <x v="20"/>
    <s v="PUSAN"/>
    <x v="17"/>
    <s v="PUSAN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6.72"/>
    <n v="601.16999999999996"/>
    <n v="562.29"/>
    <n v="622.09"/>
    <n v="0"/>
    <n v="0"/>
    <n v="516.72"/>
    <n v="601.16999999999996"/>
    <n v="562.29"/>
    <n v="622.09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09.21"/>
    <n v="739.61"/>
    <n v="739.61"/>
    <n v="0"/>
    <n v="0"/>
    <n v="0"/>
    <m/>
    <m/>
    <m/>
    <m/>
    <m/>
    <m/>
    <m/>
    <m/>
    <m/>
    <m/>
    <m/>
    <m/>
    <s v="AX1"/>
    <s v="GPX"/>
    <m/>
    <m/>
    <s v="T"/>
    <s v="33D12H"/>
    <n v="769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51.776000000000003"/>
    <n v="51.776000000000003"/>
    <n v="51.776000000000003"/>
    <n v="51.776000000000003"/>
    <n v="0"/>
    <n v="0"/>
    <n v="0"/>
    <n v="0"/>
    <n v="0"/>
    <n v="0"/>
    <n v="0"/>
    <n v="0"/>
    <n v="139.756"/>
    <n v="142.71799999999999"/>
    <n v="142.71799999999999"/>
    <n v="142.71799999999999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2830002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0"/>
    <x v="0"/>
    <x v="0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3"/>
    <s v="E"/>
    <s v="(AX3)"/>
    <s v="36D22H"/>
    <n v="1"/>
    <s v="DR"/>
    <s v="D"/>
    <s v="Y"/>
    <s v="Y"/>
    <x v="20"/>
    <s v="PUSAN"/>
    <x v="17"/>
    <s v="PUSAN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53.39"/>
    <n v="436.24"/>
    <n v="397.14"/>
    <n v="435.86"/>
    <n v="0"/>
    <n v="0"/>
    <n v="353.39"/>
    <n v="436.24"/>
    <n v="397.14"/>
    <n v="435.86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09.21"/>
    <n v="739.61"/>
    <n v="739.61"/>
    <n v="0"/>
    <n v="0"/>
    <n v="0"/>
    <m/>
    <m/>
    <m/>
    <m/>
    <m/>
    <m/>
    <m/>
    <m/>
    <m/>
    <m/>
    <m/>
    <m/>
    <s v="AX3"/>
    <s v="AX3"/>
    <m/>
    <m/>
    <s v="S"/>
    <s v="35D10H"/>
    <n v="810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2830001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0"/>
    <x v="0"/>
    <x v="0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3"/>
    <s v="E"/>
    <s v="(AX3)"/>
    <s v="41D11H"/>
    <n v="1"/>
    <s v="DR"/>
    <s v="D"/>
    <s v="Y"/>
    <s v="Y"/>
    <x v="21"/>
    <s v="QINGDAO, SHANDONG"/>
    <x v="18"/>
    <s v="QINGDAO, SHAN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39.16"/>
    <n v="438.44"/>
    <n v="428.66"/>
    <n v="523.24"/>
    <n v="0"/>
    <n v="0"/>
    <n v="339.16"/>
    <n v="438.44"/>
    <n v="428.66"/>
    <n v="523.24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4.77"/>
    <n v="719.64"/>
    <n v="719.64"/>
    <n v="0"/>
    <n v="0"/>
    <n v="0"/>
    <m/>
    <m/>
    <m/>
    <m/>
    <m/>
    <m/>
    <m/>
    <m/>
    <m/>
    <m/>
    <m/>
    <m/>
    <s v="AX3"/>
    <s v="AX3"/>
    <m/>
    <m/>
    <s v="S"/>
    <s v="39D23H"/>
    <n v="874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947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16"/>
    <x v="16"/>
    <x v="16"/>
    <x v="0"/>
    <x v="0"/>
    <x v="0"/>
    <m/>
    <m/>
    <m/>
    <m/>
    <m/>
    <m/>
  </r>
  <r>
    <s v="LW"/>
    <s v="LWE"/>
    <s v="LWT"/>
    <s v="LW"/>
    <s v="AX3"/>
    <s v="E"/>
    <s v="(AX3)"/>
    <s v="42D18H"/>
    <n v="1"/>
    <s v="DR"/>
    <s v="D"/>
    <s v="Y"/>
    <s v="Y"/>
    <x v="22"/>
    <s v="SHANGHAI, SHANGHAI"/>
    <x v="3"/>
    <s v="SHANGHAI, SHANGH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22.83"/>
    <n v="469.33"/>
    <n v="421.99"/>
    <n v="525.76"/>
    <n v="0"/>
    <n v="0"/>
    <n v="322.83"/>
    <n v="469.33"/>
    <n v="421.99"/>
    <n v="525.76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25.64"/>
    <n v="764.99"/>
    <n v="764.99"/>
    <n v="0"/>
    <n v="0"/>
    <n v="0"/>
    <m/>
    <m/>
    <m/>
    <m/>
    <m/>
    <m/>
    <m/>
    <m/>
    <m/>
    <m/>
    <m/>
    <m/>
    <s v="AX3"/>
    <s v="AX3"/>
    <m/>
    <m/>
    <s v="S"/>
    <s v="41D7H"/>
    <n v="963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24340001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1"/>
    <s v="E"/>
    <s v="(AX1)-MXZLO-(AX3)"/>
    <s v="48D14H"/>
    <n v="2"/>
    <s v="DR"/>
    <s v="D"/>
    <s v="Y"/>
    <s v="Y"/>
    <x v="23"/>
    <s v="SHANT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1.3"/>
    <n v="702.24"/>
    <n v="999.46"/>
    <n v="1265.2"/>
    <n v="0"/>
    <n v="0"/>
    <n v="691.3"/>
    <n v="702.24"/>
    <n v="999.46"/>
    <n v="1265.2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20H"/>
    <n v="1019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1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8D14H"/>
    <n v="2"/>
    <s v="DR"/>
    <s v="D"/>
    <s v="Y"/>
    <s v="Y"/>
    <x v="23"/>
    <s v="SHANT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9.53"/>
    <n v="723.81"/>
    <n v="1021.03"/>
    <n v="1286.77"/>
    <n v="0"/>
    <n v="0"/>
    <n v="669.53"/>
    <n v="723.81"/>
    <n v="1021.03"/>
    <n v="1286.7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20H"/>
    <n v="1019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1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3D8H"/>
    <n v="2"/>
    <s v="DR"/>
    <s v="D"/>
    <s v="Y"/>
    <s v="Y"/>
    <x v="23"/>
    <s v="SHANTOU, GUANGDONG"/>
    <x v="11"/>
    <s v="XIAMEN, FUJIAN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1.91999999999996"/>
    <n v="671.29"/>
    <n v="968.07"/>
    <n v="1253.23"/>
    <n v="0"/>
    <n v="0"/>
    <n v="641.91999999999996"/>
    <n v="671.29"/>
    <n v="968.07"/>
    <n v="1253.23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1D15H"/>
    <n v="1162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1D6H"/>
    <n v="2"/>
    <s v="DR"/>
    <s v="D"/>
    <s v="Y"/>
    <s v="Y"/>
    <x v="23"/>
    <s v="SHANT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3.01"/>
    <n v="798.06"/>
    <n v="1095.06"/>
    <n v="1365.63"/>
    <n v="0"/>
    <n v="0"/>
    <n v="723.01"/>
    <n v="798.06"/>
    <n v="1095.06"/>
    <n v="1365.63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9D12H"/>
    <n v="1085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1D11H"/>
    <n v="1"/>
    <s v="DR"/>
    <s v="D"/>
    <s v="Y"/>
    <s v="Y"/>
    <x v="23"/>
    <s v="SHANTO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6.51"/>
    <n v="762.94"/>
    <n v="1059.94"/>
    <n v="1311.56"/>
    <n v="0"/>
    <n v="0"/>
    <n v="696.51"/>
    <n v="762.94"/>
    <n v="1059.94"/>
    <n v="1311.56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9D18H"/>
    <n v="1117"/>
    <s v="2018-09-29"/>
    <s v="Historical averaged cost."/>
    <n v="110.87472"/>
    <n v="166.13449"/>
    <n v="166.13449"/>
    <n v="183.10584"/>
    <n v="0"/>
    <n v="0"/>
    <n v="113.39139"/>
    <n v="219.13842"/>
    <n v="219.13842"/>
    <n v="246.53073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5D11H"/>
    <n v="1"/>
    <s v="DR"/>
    <s v="D"/>
    <s v="Y"/>
    <s v="Y"/>
    <x v="23"/>
    <s v="SHANT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.86"/>
    <n v="813.52"/>
    <n v="1110.08"/>
    <n v="1391.26"/>
    <n v="0"/>
    <n v="0"/>
    <n v="731.86"/>
    <n v="813.52"/>
    <n v="1110.08"/>
    <n v="1391.26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3D18H"/>
    <n v="1068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6D14H"/>
    <n v="1"/>
    <s v="DR"/>
    <s v="D"/>
    <s v="Y"/>
    <s v="Y"/>
    <x v="23"/>
    <s v="SHANTOU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4.36"/>
    <n v="599.82000000000005"/>
    <n v="897.26"/>
    <n v="1151"/>
    <n v="0"/>
    <n v="0"/>
    <n v="624.36"/>
    <n v="599.82000000000005"/>
    <n v="897.26"/>
    <n v="115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4D21H"/>
    <n v="1008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4D11H"/>
    <n v="1"/>
    <s v="DR"/>
    <s v="D"/>
    <s v="Y"/>
    <s v="Y"/>
    <x v="23"/>
    <s v="SHANTO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3.06"/>
    <n v="731.99"/>
    <n v="1029.76"/>
    <n v="1270.25"/>
    <n v="0"/>
    <n v="0"/>
    <n v="733.06"/>
    <n v="731.99"/>
    <n v="1029.76"/>
    <n v="1270.25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2D18H"/>
    <n v="949"/>
    <s v="2018-09-29"/>
    <s v="Historical averaged cost."/>
    <n v="110.87472"/>
    <n v="166.13449"/>
    <n v="166.13449"/>
    <n v="183.10584"/>
    <n v="0"/>
    <n v="0"/>
    <n v="113.39139"/>
    <n v="219.13842"/>
    <n v="219.13842"/>
    <n v="246.53073000000001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7D14H"/>
    <n v="1"/>
    <s v="DR"/>
    <s v="D"/>
    <s v="Y"/>
    <s v="Y"/>
    <x v="23"/>
    <s v="SHANT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2.13"/>
    <n v="742.53"/>
    <n v="1038.76"/>
    <n v="1315.84"/>
    <n v="0"/>
    <n v="0"/>
    <n v="682.13"/>
    <n v="742.53"/>
    <n v="1038.76"/>
    <n v="1315.84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5D20H"/>
    <n v="1098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4D6H"/>
    <n v="1"/>
    <s v="DR"/>
    <s v="D"/>
    <s v="Y"/>
    <s v="Y"/>
    <x v="23"/>
    <s v="SHANT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3.21"/>
    <n v="783.5"/>
    <n v="1081.27"/>
    <n v="1343.02"/>
    <n v="0"/>
    <n v="0"/>
    <n v="713.21"/>
    <n v="783.5"/>
    <n v="1081.27"/>
    <n v="1343.02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2D12H"/>
    <n v="932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6D14H"/>
    <n v="2"/>
    <s v="DR"/>
    <s v="D"/>
    <s v="Y"/>
    <s v="Y"/>
    <x v="23"/>
    <s v="SHANTOU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2.6"/>
    <n v="621.4"/>
    <n v="918.83"/>
    <n v="1172.57"/>
    <n v="0"/>
    <n v="0"/>
    <n v="602.6"/>
    <n v="621.4"/>
    <n v="918.83"/>
    <n v="1172.5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4D21H"/>
    <n v="1008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6D0H"/>
    <n v="1"/>
    <s v="DR"/>
    <s v="D"/>
    <s v="Y"/>
    <s v="Y"/>
    <x v="23"/>
    <s v="SHANT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5.33"/>
    <n v="717.57"/>
    <n v="1015.12"/>
    <n v="1277.08"/>
    <n v="0"/>
    <n v="0"/>
    <n v="665.33"/>
    <n v="717.57"/>
    <n v="1015.12"/>
    <n v="1277.08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4D7H"/>
    <n v="975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4D11H"/>
    <n v="3"/>
    <s v="DR"/>
    <s v="D"/>
    <s v="Y"/>
    <s v="Y"/>
    <x v="23"/>
    <s v="SHANTO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5.05"/>
    <n v="876.7"/>
    <n v="1174.46"/>
    <n v="1419.57"/>
    <n v="0"/>
    <n v="0"/>
    <n v="835.05"/>
    <n v="876.7"/>
    <n v="1174.46"/>
    <n v="1419.5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2D18H"/>
    <n v="949"/>
    <s v="2018-09-29"/>
    <s v="Historical averaged cost."/>
    <n v="110.87472"/>
    <n v="166.13449"/>
    <n v="166.13449"/>
    <n v="183.10584"/>
    <n v="0"/>
    <n v="0"/>
    <n v="113.39139"/>
    <n v="219.13842"/>
    <n v="219.13842"/>
    <n v="246.53073000000001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192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1H"/>
    <n v="1"/>
    <s v="DR"/>
    <s v="D"/>
    <s v="Y"/>
    <s v="Y"/>
    <x v="24"/>
    <s v="SHEK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4.38"/>
    <n v="1012.33"/>
    <n v="996.66"/>
    <n v="1197.3499999999999"/>
    <n v="0"/>
    <n v="0"/>
    <n v="664.38"/>
    <n v="1012.33"/>
    <n v="996.66"/>
    <n v="1197.3499999999999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7H"/>
    <n v="932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2D23H"/>
    <n v="3"/>
    <s v="DR"/>
    <s v="D"/>
    <s v="Y"/>
    <s v="Y"/>
    <x v="24"/>
    <s v="SHEKO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9.11"/>
    <n v="889.21"/>
    <n v="873.54"/>
    <n v="1030.93"/>
    <n v="0"/>
    <n v="0"/>
    <n v="649.11"/>
    <n v="889.21"/>
    <n v="873.54"/>
    <n v="1030.93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m/>
    <m/>
    <s v="T"/>
    <s v="41D12H"/>
    <n v="949"/>
    <s v="2018-09-29"/>
    <s v="Historical averaged cost."/>
    <n v="103.94222000000001"/>
    <n v="155.98598999999999"/>
    <n v="155.98598999999999"/>
    <n v="172.9573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6H"/>
    <n v="1"/>
    <s v="DR"/>
    <s v="D"/>
    <s v="Y"/>
    <s v="Y"/>
    <x v="24"/>
    <s v="SHEK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3.03"/>
    <n v="1042.3499999999999"/>
    <n v="1025.47"/>
    <n v="1245.58"/>
    <n v="0"/>
    <n v="0"/>
    <n v="683.03"/>
    <n v="1042.3499999999999"/>
    <n v="1025.47"/>
    <n v="1245.58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2D13H"/>
    <n v="1068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9H"/>
    <n v="2"/>
    <s v="DR"/>
    <s v="D"/>
    <s v="Y"/>
    <s v="Y"/>
    <x v="24"/>
    <s v="SHEK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9.29999999999995"/>
    <n v="950.56"/>
    <n v="934.46"/>
    <n v="1137.8699999999999"/>
    <n v="0"/>
    <n v="0"/>
    <n v="619.29999999999995"/>
    <n v="950.56"/>
    <n v="934.46"/>
    <n v="1137.8699999999999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5H"/>
    <n v="1019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4D19H"/>
    <n v="1"/>
    <s v="DR"/>
    <s v="D"/>
    <s v="Y"/>
    <s v="Y"/>
    <x v="24"/>
    <s v="SHEK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6.5"/>
    <n v="946.4"/>
    <n v="930.52"/>
    <n v="1131.4100000000001"/>
    <n v="0"/>
    <n v="0"/>
    <n v="616.5"/>
    <n v="946.4"/>
    <n v="930.52"/>
    <n v="1131.4100000000001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2H"/>
    <n v="975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2D23H"/>
    <n v="1"/>
    <s v="DR"/>
    <s v="D"/>
    <s v="Y"/>
    <s v="Y"/>
    <x v="24"/>
    <s v="SHEKO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7.13"/>
    <n v="744.51"/>
    <n v="728.84"/>
    <n v="881.61"/>
    <n v="0"/>
    <n v="0"/>
    <n v="547.13"/>
    <n v="744.51"/>
    <n v="728.84"/>
    <n v="881.61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m/>
    <m/>
    <s v="S"/>
    <s v="41D12H"/>
    <n v="949"/>
    <s v="2018-09-29"/>
    <s v="Historical averaged cost."/>
    <n v="103.94222000000001"/>
    <n v="155.98598999999999"/>
    <n v="155.98598999999999"/>
    <n v="172.9573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49D23H"/>
    <n v="1"/>
    <s v="DR"/>
    <s v="D"/>
    <s v="Y"/>
    <s v="Y"/>
    <x v="24"/>
    <s v="SHEKO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0.57"/>
    <n v="775.46"/>
    <n v="759.02"/>
    <n v="922.92"/>
    <n v="0"/>
    <n v="0"/>
    <n v="510.57"/>
    <n v="775.46"/>
    <n v="759.02"/>
    <n v="922.92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m/>
    <m/>
    <s v="S"/>
    <s v="48D12H"/>
    <n v="1117"/>
    <s v="2018-09-29"/>
    <s v="Historical averaged cost."/>
    <n v="103.94222000000001"/>
    <n v="155.98598999999999"/>
    <n v="155.98598999999999"/>
    <n v="172.95733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9H"/>
    <n v="1"/>
    <s v="DR"/>
    <s v="D"/>
    <s v="Y"/>
    <s v="Y"/>
    <x v="24"/>
    <s v="SHEK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1.9"/>
    <n v="969.28"/>
    <n v="952.19"/>
    <n v="1166.94"/>
    <n v="0"/>
    <n v="0"/>
    <n v="631.9"/>
    <n v="969.28"/>
    <n v="952.19"/>
    <n v="1166.94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4D15H"/>
    <n v="1098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1H"/>
    <n v="2"/>
    <s v="DR"/>
    <s v="D"/>
    <s v="Y"/>
    <s v="Y"/>
    <x v="24"/>
    <s v="SHEK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4.18"/>
    <n v="1026.8900000000001"/>
    <n v="1010.45"/>
    <n v="1219.96"/>
    <n v="0"/>
    <n v="0"/>
    <n v="674.18"/>
    <n v="1026.8900000000001"/>
    <n v="1010.45"/>
    <n v="1219.96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7H"/>
    <n v="1085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9H"/>
    <n v="2"/>
    <s v="DR"/>
    <s v="D"/>
    <s v="Y"/>
    <s v="Y"/>
    <x v="24"/>
    <s v="SHEKO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1.05999999999995"/>
    <n v="928.99"/>
    <n v="912.88"/>
    <n v="1116.3"/>
    <n v="0"/>
    <n v="0"/>
    <n v="641.05999999999995"/>
    <n v="928.99"/>
    <n v="912.88"/>
    <n v="1116.3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15H"/>
    <n v="1019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240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JVH)-TWKHH-(MD3)-KRPUS-(AX3)"/>
    <s v="59D6H"/>
    <n v="1"/>
    <s v="DR"/>
    <s v="D"/>
    <s v="Y"/>
    <s v="Y"/>
    <x v="25"/>
    <s v="TAICH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7.61"/>
    <n v="868.66"/>
    <n v="838.37"/>
    <n v="899.61"/>
    <n v="0"/>
    <n v="0"/>
    <n v="697.61"/>
    <n v="868.66"/>
    <n v="838.37"/>
    <n v="899.61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AX3"/>
    <s v="T"/>
    <m/>
    <s v="S"/>
    <s v="57D12H"/>
    <n v="1137"/>
    <s v="2018-09-29"/>
    <s v="Historical averaged cost."/>
    <n v="94.672120000000007"/>
    <n v="129.36823000000001"/>
    <n v="129.36823000000001"/>
    <n v="129.36823000000001"/>
    <n v="0"/>
    <n v="0"/>
    <n v="144.44219000000001"/>
    <n v="144.44219000000001"/>
    <n v="144.44219000000001"/>
    <n v="144.44219000000001"/>
    <n v="0"/>
    <n v="0"/>
    <n v="25.4"/>
    <n v="25.4"/>
    <n v="25.4"/>
    <n v="1.8"/>
    <n v="0"/>
    <n v="0"/>
    <n v="0"/>
    <n v="0"/>
    <n v="0"/>
    <n v="0"/>
    <n v="0"/>
    <n v="0"/>
    <n v="187.95009099999999"/>
    <n v="231.34615959999999"/>
    <n v="231.34615959999999"/>
    <n v="231.34615959999999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556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-MXZLO-(AX3)"/>
    <s v="61D6H"/>
    <n v="3"/>
    <s v="DR"/>
    <s v="D"/>
    <s v="Y"/>
    <s v="Y"/>
    <x v="25"/>
    <s v="TAICH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6.68"/>
    <n v="796.57"/>
    <n v="772.76"/>
    <n v="759.66"/>
    <n v="0"/>
    <n v="0"/>
    <n v="666.68"/>
    <n v="796.57"/>
    <n v="772.76"/>
    <n v="759.66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T"/>
    <s v="59D12H"/>
    <n v="1273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25.4"/>
    <n v="25.4"/>
    <n v="25.4"/>
    <n v="1.8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556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MD3)-KRPUS-(AX3)"/>
    <s v="53D6H"/>
    <n v="1"/>
    <s v="DR"/>
    <s v="D"/>
    <s v="Y"/>
    <s v="Y"/>
    <x v="25"/>
    <s v="TAICHUNG CITY"/>
    <x v="26"/>
    <s v="KAOHSIUNG CITY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05999999999995"/>
    <n v="732.74"/>
    <n v="703.1"/>
    <n v="756.78"/>
    <n v="0"/>
    <n v="0"/>
    <n v="592.05999999999995"/>
    <n v="732.74"/>
    <n v="703.1"/>
    <n v="756.78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MD3"/>
    <s v="AX3"/>
    <s v="T"/>
    <m/>
    <s v="S"/>
    <s v="51D12H"/>
    <n v="960"/>
    <s v="2018-09-29"/>
    <s v="Historical averaged cost."/>
    <n v="89.310370000000006"/>
    <n v="97.769739999999999"/>
    <n v="97.769739999999999"/>
    <n v="97.769739999999999"/>
    <n v="0"/>
    <n v="0"/>
    <n v="136.94292999999999"/>
    <n v="136.94292999999999"/>
    <n v="136.94292999999999"/>
    <n v="136.94292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556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AX1)-KRPUS-(AX3)"/>
    <s v="54D6H"/>
    <n v="1"/>
    <s v="DR"/>
    <s v="D"/>
    <s v="Y"/>
    <s v="Y"/>
    <x v="25"/>
    <s v="TAICH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6.85"/>
    <n v="783.46"/>
    <n v="753.71"/>
    <n v="808.65"/>
    <n v="0"/>
    <n v="0"/>
    <n v="616.85"/>
    <n v="783.46"/>
    <n v="753.71"/>
    <n v="808.65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S"/>
    <s v="52D12H"/>
    <n v="1105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556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PS4)-TWKHH-(MD3)-KRPUS-(AX3)"/>
    <s v="54D6H"/>
    <n v="1"/>
    <s v="DR"/>
    <s v="D"/>
    <s v="Y"/>
    <s v="Y"/>
    <x v="25"/>
    <s v="TAICH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2.54"/>
    <n v="892.26"/>
    <n v="862.51"/>
    <n v="917.45"/>
    <n v="0"/>
    <n v="0"/>
    <n v="712.54"/>
    <n v="892.26"/>
    <n v="862.51"/>
    <n v="917.45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AX3"/>
    <s v="T"/>
    <m/>
    <s v="S"/>
    <s v="52D12H"/>
    <n v="1107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25.4"/>
    <n v="25.4"/>
    <n v="25.4"/>
    <n v="1.8"/>
    <n v="0"/>
    <n v="0"/>
    <n v="0"/>
    <n v="0"/>
    <n v="0"/>
    <n v="0"/>
    <n v="0"/>
    <n v="0"/>
    <n v="199.36200199999999"/>
    <n v="255.80025459999999"/>
    <n v="255.80025459999999"/>
    <n v="255.80025459999999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556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AX3)"/>
    <s v="54D6H"/>
    <n v="2"/>
    <s v="DR"/>
    <s v="D"/>
    <s v="Y"/>
    <s v="Y"/>
    <x v="25"/>
    <s v="TAICHUNG CITY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61"/>
    <n v="761.89"/>
    <n v="732.14"/>
    <n v="787.08"/>
    <n v="0"/>
    <n v="0"/>
    <n v="638.61"/>
    <n v="761.89"/>
    <n v="732.14"/>
    <n v="787.08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S"/>
    <s v="52D12H"/>
    <n v="1105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556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AX1)-KRPUS-(AX3)"/>
    <s v="55D0H"/>
    <n v="1"/>
    <s v="DR"/>
    <s v="D"/>
    <s v="Y"/>
    <s v="Y"/>
    <x v="26"/>
    <s v="TAOYUAN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7.70000000000005"/>
    <n v="757.75"/>
    <n v="711.69"/>
    <n v="781.3"/>
    <n v="0"/>
    <n v="0"/>
    <n v="567.70000000000005"/>
    <n v="757.75"/>
    <n v="711.69"/>
    <n v="781.3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S"/>
    <s v="53D6H"/>
    <n v="1105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9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PS4)-TWKHH-(MD3)-KRPUS-(AX3)"/>
    <s v="55D0H"/>
    <n v="1"/>
    <s v="DR"/>
    <s v="D"/>
    <s v="Y"/>
    <s v="Y"/>
    <x v="26"/>
    <s v="TAOYUAN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3.4"/>
    <n v="866.55"/>
    <n v="820.49"/>
    <n v="890.1"/>
    <n v="0"/>
    <n v="0"/>
    <n v="663.4"/>
    <n v="866.55"/>
    <n v="820.49"/>
    <n v="890.1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PS4"/>
    <s v="AX3"/>
    <s v="T"/>
    <m/>
    <s v="S"/>
    <s v="53D6H"/>
    <n v="1107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25.4"/>
    <n v="25.4"/>
    <n v="25.4"/>
    <n v="1.8"/>
    <n v="0"/>
    <n v="0"/>
    <n v="0"/>
    <n v="0"/>
    <n v="0"/>
    <n v="0"/>
    <n v="0"/>
    <n v="0"/>
    <n v="199.36200199999999"/>
    <n v="255.80025459999999"/>
    <n v="255.80025459999999"/>
    <n v="255.80025459999999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9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MD3)-KRPUS-(AX3)"/>
    <s v="53D8H"/>
    <n v="1"/>
    <s v="DR"/>
    <s v="D"/>
    <s v="Y"/>
    <s v="Y"/>
    <x v="26"/>
    <s v="TAOYUAN"/>
    <x v="26"/>
    <s v="KAOHSIUNG CITY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3.13"/>
    <n v="826.57"/>
    <n v="780.73"/>
    <n v="847.81"/>
    <n v="0"/>
    <n v="0"/>
    <n v="663.13"/>
    <n v="826.57"/>
    <n v="780.73"/>
    <n v="847.81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MD3"/>
    <s v="AX3"/>
    <s v="T"/>
    <m/>
    <s v="S"/>
    <s v="51D14H"/>
    <n v="960"/>
    <s v="2018-09-29"/>
    <s v="Historical averaged cost."/>
    <n v="88.590369999999993"/>
    <n v="97.04974"/>
    <n v="97.04974"/>
    <n v="97.04974"/>
    <n v="0"/>
    <n v="0"/>
    <n v="197.26302999999999"/>
    <n v="197.26302999999999"/>
    <n v="197.26302999999999"/>
    <n v="197.26302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9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MXZLO-(AX3)"/>
    <s v="55D0H"/>
    <n v="2"/>
    <s v="DR"/>
    <s v="D"/>
    <s v="Y"/>
    <s v="Y"/>
    <x v="26"/>
    <s v="TAOYUAN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9.46"/>
    <n v="736.18"/>
    <n v="690.12"/>
    <n v="759.72"/>
    <n v="0"/>
    <n v="0"/>
    <n v="589.46"/>
    <n v="736.18"/>
    <n v="690.12"/>
    <n v="759.72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S"/>
    <s v="53D6H"/>
    <n v="1105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9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-MXZLO-(AX3)"/>
    <s v="62D0H"/>
    <n v="3"/>
    <s v="DR"/>
    <s v="D"/>
    <s v="Y"/>
    <s v="Y"/>
    <x v="26"/>
    <s v="TAOYUAN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6.13"/>
    <n v="768.78"/>
    <n v="728.77"/>
    <n v="729.07"/>
    <n v="0"/>
    <n v="0"/>
    <n v="616.13"/>
    <n v="768.78"/>
    <n v="728.77"/>
    <n v="729.07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AX1"/>
    <s v="AX3"/>
    <s v="T"/>
    <m/>
    <s v="T"/>
    <s v="60D6H"/>
    <n v="1273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25.4"/>
    <n v="25.4"/>
    <n v="25.4"/>
    <n v="1.8"/>
    <n v="0"/>
    <n v="0"/>
    <n v="0"/>
    <n v="0"/>
    <n v="0"/>
    <n v="0"/>
    <n v="0"/>
    <n v="0"/>
    <n v="229.09371400000001"/>
    <n v="272.4277826"/>
    <n v="272.4277826"/>
    <n v="272.427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9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JVH)-TWKHH-(MD3)-KRPUS-(AX3)"/>
    <s v="60D0H"/>
    <n v="1"/>
    <s v="DR"/>
    <s v="D"/>
    <s v="Y"/>
    <s v="Y"/>
    <x v="26"/>
    <s v="TAOYUAN"/>
    <x v="14"/>
    <s v="KEELU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1.22"/>
    <n v="714.91"/>
    <n v="674.9"/>
    <n v="675.21"/>
    <n v="0"/>
    <n v="0"/>
    <n v="561.22"/>
    <n v="714.91"/>
    <n v="674.9"/>
    <n v="675.21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80.45000000000005"/>
    <n v="808.1"/>
    <n v="836.63"/>
    <n v="0"/>
    <n v="0"/>
    <n v="0"/>
    <m/>
    <m/>
    <m/>
    <m/>
    <m/>
    <m/>
    <m/>
    <m/>
    <m/>
    <m/>
    <m/>
    <m/>
    <s v="JVH"/>
    <s v="AX3"/>
    <s v="T"/>
    <m/>
    <s v="S"/>
    <s v="58D6H"/>
    <n v="1137"/>
    <s v="2018-09-29"/>
    <s v="Historical averaged cost."/>
    <n v="90.709119999999999"/>
    <n v="125.40523"/>
    <n v="125.40523"/>
    <n v="125.40523"/>
    <n v="0"/>
    <n v="0"/>
    <n v="83.143919999999994"/>
    <n v="83.143919999999994"/>
    <n v="83.143919999999994"/>
    <n v="83.143919999999994"/>
    <n v="0"/>
    <n v="0"/>
    <n v="25.4"/>
    <n v="25.4"/>
    <n v="25.4"/>
    <n v="1.8"/>
    <n v="0"/>
    <n v="0"/>
    <n v="0"/>
    <n v="0"/>
    <n v="0"/>
    <n v="0"/>
    <n v="0"/>
    <n v="0"/>
    <n v="187.95009099999999"/>
    <n v="231.34615959999999"/>
    <n v="231.34615959999999"/>
    <n v="231.3461595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789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0"/>
    <x v="0"/>
    <x v="0"/>
    <x v="8"/>
    <x v="8"/>
    <x v="8"/>
    <x v="0"/>
    <x v="0"/>
    <x v="0"/>
    <m/>
    <m/>
    <m/>
    <m/>
    <m/>
    <m/>
  </r>
  <r>
    <s v="LW"/>
    <s v="LWE"/>
    <s v="LWT"/>
    <s v="LW"/>
    <s v="AX3"/>
    <s v="E"/>
    <s v="(AX3)"/>
    <s v="47D0H"/>
    <n v="1"/>
    <s v="DR"/>
    <s v="D"/>
    <s v="Y"/>
    <s v="Y"/>
    <x v="72"/>
    <s v="WUHU, ANHUI"/>
    <x v="3"/>
    <s v="SHANGHAI, SHANGHAI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73"/>
    <n v="1002.61"/>
    <n v="938.52"/>
    <n v="761.38"/>
    <n v="0"/>
    <n v="0"/>
    <n v="621.73"/>
    <n v="1002.61"/>
    <n v="938.52"/>
    <n v="761.38"/>
    <n v="0"/>
    <n v="0"/>
    <s v="CNWHI"/>
    <n v="251.46450321699999"/>
    <n v="404.47756845800001"/>
    <n v="338.42661576299997"/>
    <n v="26.607571027999999"/>
    <n v="0"/>
    <n v="0"/>
    <n v="251.46450321699999"/>
    <n v="404.47756845800001"/>
    <n v="338.42661576299997"/>
    <n v="26.6075710279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6.38"/>
    <n v="721.1"/>
    <n v="721.1"/>
    <n v="0"/>
    <n v="0"/>
    <n v="0"/>
    <m/>
    <m/>
    <m/>
    <m/>
    <m/>
    <m/>
    <m/>
    <m/>
    <m/>
    <m/>
    <m/>
    <m/>
    <s v="AX3"/>
    <s v="AX3"/>
    <s v="F"/>
    <m/>
    <s v="S"/>
    <s v="45D7H"/>
    <n v="963"/>
    <s v="2018-09-29"/>
    <s v="Historical averaged cost."/>
    <n v="99.140680000000003"/>
    <n v="148.71053000000001"/>
    <n v="148.71053000000001"/>
    <n v="179.43451999999999"/>
    <n v="0"/>
    <n v="0"/>
    <n v="170"/>
    <n v="320"/>
    <n v="320"/>
    <n v="400"/>
    <n v="0"/>
    <n v="0"/>
    <n v="25.4"/>
    <n v="25.4"/>
    <n v="25.4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30013686954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0"/>
    <x v="0"/>
    <x v="0"/>
    <x v="2"/>
    <x v="2"/>
    <x v="2"/>
    <x v="0"/>
    <x v="0"/>
    <x v="0"/>
    <m/>
    <m/>
    <m/>
    <m/>
    <m/>
    <m/>
  </r>
  <r>
    <s v="LW"/>
    <s v="LWE"/>
    <s v="LWT"/>
    <s v="LW"/>
    <s v="AX3"/>
    <s v="E"/>
    <s v="(AX2)-KRPUS-(AX3)"/>
    <s v="51D18H"/>
    <n v="2"/>
    <s v="DR"/>
    <s v="D"/>
    <s v="Y"/>
    <s v="Y"/>
    <x v="28"/>
    <s v="XIAMEN, FUJIAN"/>
    <x v="11"/>
    <s v="XIAMEN, FUJIAN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6.99"/>
    <n v="673.87"/>
    <n v="628.88"/>
    <n v="869.94"/>
    <n v="0"/>
    <n v="0"/>
    <n v="476.99"/>
    <n v="673.87"/>
    <n v="628.88"/>
    <n v="869.94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5.06"/>
    <n v="720.22"/>
    <n v="720.22"/>
    <n v="0"/>
    <n v="0"/>
    <n v="0"/>
    <m/>
    <m/>
    <m/>
    <m/>
    <m/>
    <m/>
    <m/>
    <m/>
    <m/>
    <m/>
    <m/>
    <m/>
    <s v="AX2"/>
    <s v="AX3"/>
    <m/>
    <m/>
    <s v="S"/>
    <s v="50D7H"/>
    <n v="1162"/>
    <s v="2018-09-29"/>
    <s v="Historical averaged cost."/>
    <n v="74.504000000000005"/>
    <n v="111.32866"/>
    <n v="111.32866"/>
    <n v="138.17556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7561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4"/>
    <x v="4"/>
    <x v="4"/>
    <x v="0"/>
    <x v="0"/>
    <x v="0"/>
    <m/>
    <m/>
    <m/>
    <m/>
    <m/>
    <m/>
  </r>
  <r>
    <s v="LW"/>
    <s v="LWE"/>
    <s v="LWT"/>
    <s v="LW"/>
    <s v="AX3"/>
    <s v="E"/>
    <s v="(NX2)-KRPUS-(AX3)"/>
    <s v="45D3H"/>
    <n v="1"/>
    <s v="DR"/>
    <s v="D"/>
    <s v="Y"/>
    <s v="Y"/>
    <x v="29"/>
    <s v="XIAOL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51"/>
    <n v="485.45"/>
    <n v="846.12"/>
    <n v="761.7"/>
    <n v="0"/>
    <n v="0"/>
    <n v="622.51"/>
    <n v="485.45"/>
    <n v="846.12"/>
    <n v="761.7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10H"/>
    <n v="975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9D8H"/>
    <n v="2"/>
    <s v="DR"/>
    <s v="D"/>
    <s v="Y"/>
    <s v="Y"/>
    <x v="29"/>
    <s v="XIAOLA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0.23"/>
    <n v="449.02"/>
    <n v="809.26"/>
    <n v="722.94"/>
    <n v="0"/>
    <n v="0"/>
    <n v="630.23"/>
    <n v="449.02"/>
    <n v="809.26"/>
    <n v="722.94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7D15H"/>
    <n v="1008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17H"/>
    <n v="1"/>
    <s v="DR"/>
    <s v="D"/>
    <s v="Y"/>
    <s v="Y"/>
    <x v="29"/>
    <s v="XIAOL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9.30999999999995"/>
    <n v="510.41"/>
    <n v="869.76"/>
    <n v="800.46"/>
    <n v="0"/>
    <n v="0"/>
    <n v="639.30999999999995"/>
    <n v="510.41"/>
    <n v="869.76"/>
    <n v="800.46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4D23H"/>
    <n v="1098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9H"/>
    <n v="1"/>
    <s v="DR"/>
    <s v="D"/>
    <s v="Y"/>
    <s v="Y"/>
    <x v="29"/>
    <s v="XIAOL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0.39"/>
    <n v="551.38"/>
    <n v="912.27"/>
    <n v="827.64"/>
    <n v="0"/>
    <n v="0"/>
    <n v="670.39"/>
    <n v="551.38"/>
    <n v="912.27"/>
    <n v="827.64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15H"/>
    <n v="932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14H"/>
    <n v="1"/>
    <s v="DR"/>
    <s v="D"/>
    <s v="Y"/>
    <s v="Y"/>
    <x v="29"/>
    <s v="XIAOL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0.44"/>
    <n v="583.48"/>
    <n v="943.05"/>
    <n v="879.11"/>
    <n v="0"/>
    <n v="0"/>
    <n v="690.44"/>
    <n v="583.48"/>
    <n v="943.05"/>
    <n v="879.11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2D21H"/>
    <n v="1068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4D22H"/>
    <n v="3"/>
    <s v="DR"/>
    <s v="D"/>
    <s v="Y"/>
    <s v="Y"/>
    <x v="29"/>
    <s v="XIAOLA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3.06"/>
    <n v="679.31"/>
    <n v="1039.98"/>
    <n v="943.91"/>
    <n v="0"/>
    <n v="0"/>
    <n v="823.06"/>
    <n v="679.31"/>
    <n v="1039.98"/>
    <n v="943.91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3D5H"/>
    <n v="949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9H"/>
    <n v="2"/>
    <s v="DR"/>
    <s v="D"/>
    <s v="Y"/>
    <s v="Y"/>
    <x v="29"/>
    <s v="XIAOL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0.19"/>
    <n v="565.94000000000005"/>
    <n v="926.06"/>
    <n v="850.25"/>
    <n v="0"/>
    <n v="0"/>
    <n v="680.19"/>
    <n v="565.94000000000005"/>
    <n v="926.06"/>
    <n v="850.25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15H"/>
    <n v="1085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1D22H"/>
    <n v="1"/>
    <s v="DR"/>
    <s v="D"/>
    <s v="Y"/>
    <s v="Y"/>
    <x v="29"/>
    <s v="XIAOLA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4.52"/>
    <n v="565.55999999999995"/>
    <n v="925.46"/>
    <n v="835.89"/>
    <n v="0"/>
    <n v="0"/>
    <n v="684.52"/>
    <n v="565.55999999999995"/>
    <n v="925.46"/>
    <n v="835.89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5H"/>
    <n v="1117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17H"/>
    <n v="2"/>
    <s v="DR"/>
    <s v="D"/>
    <s v="Y"/>
    <s v="Y"/>
    <x v="29"/>
    <s v="XIAOL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6.71"/>
    <n v="491.69"/>
    <n v="852.03"/>
    <n v="771.39"/>
    <n v="0"/>
    <n v="0"/>
    <n v="626.71"/>
    <n v="491.69"/>
    <n v="852.03"/>
    <n v="771.39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3H"/>
    <n v="1019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9D8H"/>
    <n v="1"/>
    <s v="DR"/>
    <s v="D"/>
    <s v="Y"/>
    <s v="Y"/>
    <x v="29"/>
    <s v="XIAOLA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1.99"/>
    <n v="427.45"/>
    <n v="787.69"/>
    <n v="701.37"/>
    <n v="0"/>
    <n v="0"/>
    <n v="651.99"/>
    <n v="427.45"/>
    <n v="787.69"/>
    <n v="701.37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7D15H"/>
    <n v="1008"/>
    <s v="2018-09-29"/>
    <s v="Historical averaged cost."/>
    <n v="88.532589999999999"/>
    <n v="132.29938999999999"/>
    <n v="132.29938999999999"/>
    <n v="162.43816000000001"/>
    <n v="0"/>
    <n v="0"/>
    <n v="137.59854000000001"/>
    <n v="165.62788"/>
    <n v="165.62788"/>
    <n v="180.91660999999999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4D22H"/>
    <n v="1"/>
    <s v="DR"/>
    <s v="D"/>
    <s v="Y"/>
    <s v="Y"/>
    <x v="29"/>
    <s v="XIAOLA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1.07"/>
    <n v="534.61"/>
    <n v="895.28"/>
    <n v="794.58"/>
    <n v="0"/>
    <n v="0"/>
    <n v="721.07"/>
    <n v="534.61"/>
    <n v="895.28"/>
    <n v="794.58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3D5H"/>
    <n v="949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17H"/>
    <n v="2"/>
    <s v="DR"/>
    <s v="D"/>
    <s v="Y"/>
    <s v="Y"/>
    <x v="29"/>
    <s v="XIAOL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8.47"/>
    <n v="470.12"/>
    <n v="830.46"/>
    <n v="749.82"/>
    <n v="0"/>
    <n v="0"/>
    <n v="648.47"/>
    <n v="470.12"/>
    <n v="830.46"/>
    <n v="749.82"/>
    <n v="0"/>
    <n v="0"/>
    <s v="CNXIL"/>
    <n v="196.50738534999999"/>
    <n v="-129.489851552"/>
    <n v="229.00769452399999"/>
    <n v="70.791379277000004"/>
    <n v="0"/>
    <n v="0"/>
    <n v="196.50738534999999"/>
    <n v="-129.489851552"/>
    <n v="229.00769452399999"/>
    <n v="70.791379277000004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3H"/>
    <n v="1019"/>
    <s v="2018-09-29"/>
    <s v="Historical averaged cost."/>
    <n v="152.66703000000001"/>
    <n v="230.55654000000001"/>
    <n v="230.55654000000001"/>
    <n v="270.17982999999998"/>
    <n v="0"/>
    <n v="0"/>
    <n v="71.347390000000004"/>
    <n v="112.11733"/>
    <n v="112.11733"/>
    <n v="124.85794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925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BHX)-KRPUS-(AX3)"/>
    <s v="43D18H"/>
    <n v="1"/>
    <s v="DR"/>
    <s v="D"/>
    <s v="Y"/>
    <s v="Y"/>
    <x v="30"/>
    <s v="XINGANG, TIANJIN"/>
    <x v="19"/>
    <s v="XINGANG, TIANJIN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77.08"/>
    <n v="554.61"/>
    <n v="515.26"/>
    <n v="567.67999999999995"/>
    <n v="0"/>
    <n v="0"/>
    <n v="377.08"/>
    <n v="554.61"/>
    <n v="515.26"/>
    <n v="567.67999999999995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493.6"/>
    <n v="716.86"/>
    <n v="716.86"/>
    <n v="0"/>
    <n v="0"/>
    <n v="0"/>
    <m/>
    <m/>
    <m/>
    <m/>
    <m/>
    <m/>
    <m/>
    <m/>
    <m/>
    <m/>
    <m/>
    <m/>
    <s v="BHX"/>
    <s v="AX3"/>
    <m/>
    <m/>
    <s v="S"/>
    <s v="42D6H"/>
    <n v="954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82527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0"/>
    <x v="0"/>
    <x v="0"/>
    <x v="4"/>
    <x v="17"/>
    <x v="17"/>
    <x v="0"/>
    <x v="0"/>
    <x v="0"/>
    <m/>
    <m/>
    <m/>
    <m/>
    <m/>
    <m/>
  </r>
  <r>
    <s v="LW"/>
    <s v="LWE"/>
    <s v="LWT"/>
    <s v="LW"/>
    <s v="AX3"/>
    <s v="E"/>
    <s v="(AX2)-KRPUS-(AX3)"/>
    <s v="50D7H"/>
    <n v="2"/>
    <s v="DR"/>
    <s v="D"/>
    <s v="Y"/>
    <s v="Y"/>
    <x v="31"/>
    <s v="YANTI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4.22"/>
    <n v="1006.29"/>
    <n v="974.72"/>
    <n v="1105.46"/>
    <n v="0"/>
    <n v="0"/>
    <n v="704.22"/>
    <n v="1006.29"/>
    <n v="974.72"/>
    <n v="1105.46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13H"/>
    <n v="1085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09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5D2H"/>
    <n v="1"/>
    <s v="DR"/>
    <s v="D"/>
    <s v="Y"/>
    <s v="Y"/>
    <x v="31"/>
    <s v="YANTIA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5.63"/>
    <n v="725.04"/>
    <n v="694.02"/>
    <n v="807.52"/>
    <n v="0"/>
    <n v="0"/>
    <n v="545.63"/>
    <n v="725.04"/>
    <n v="694.02"/>
    <n v="807.52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m/>
    <m/>
    <s v="S"/>
    <s v="43D15H"/>
    <n v="1008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09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15H"/>
    <n v="2"/>
    <s v="DR"/>
    <s v="D"/>
    <s v="Y"/>
    <s v="Y"/>
    <x v="31"/>
    <s v="YANTI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2.5"/>
    <n v="910.47"/>
    <n v="879.13"/>
    <n v="1005.02"/>
    <n v="0"/>
    <n v="0"/>
    <n v="672.5"/>
    <n v="910.47"/>
    <n v="879.13"/>
    <n v="1005.02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1H"/>
    <n v="1019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09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5D2H"/>
    <n v="2"/>
    <s v="DR"/>
    <s v="D"/>
    <s v="Y"/>
    <s v="Y"/>
    <x v="31"/>
    <s v="YANTIA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3.87"/>
    <n v="746.61"/>
    <n v="715.59"/>
    <n v="829.1"/>
    <n v="0"/>
    <n v="0"/>
    <n v="523.87"/>
    <n v="746.61"/>
    <n v="715.59"/>
    <n v="829.1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m/>
    <m/>
    <s v="S"/>
    <s v="43D15H"/>
    <n v="1008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09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15H"/>
    <n v="2"/>
    <s v="DR"/>
    <s v="D"/>
    <s v="Y"/>
    <s v="Y"/>
    <x v="31"/>
    <s v="YANTI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0.74"/>
    <n v="932.04"/>
    <n v="900.7"/>
    <n v="1026.5999999999999"/>
    <n v="0"/>
    <n v="0"/>
    <n v="650.74"/>
    <n v="932.04"/>
    <n v="900.7"/>
    <n v="1026.5999999999999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1H"/>
    <n v="1019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09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12H"/>
    <n v="1"/>
    <s v="DR"/>
    <s v="D"/>
    <s v="Y"/>
    <s v="Y"/>
    <x v="31"/>
    <s v="YANTI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4.47"/>
    <n v="1023.83"/>
    <n v="991.71"/>
    <n v="1134.31"/>
    <n v="0"/>
    <n v="0"/>
    <n v="714.47"/>
    <n v="1023.83"/>
    <n v="991.71"/>
    <n v="1134.31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2D19H"/>
    <n v="1068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09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15H"/>
    <n v="1"/>
    <s v="DR"/>
    <s v="D"/>
    <s v="Y"/>
    <s v="Y"/>
    <x v="31"/>
    <s v="YANTI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3.34"/>
    <n v="950.76"/>
    <n v="918.43"/>
    <n v="1055.67"/>
    <n v="0"/>
    <n v="0"/>
    <n v="663.34"/>
    <n v="950.76"/>
    <n v="918.43"/>
    <n v="1055.67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4D21H"/>
    <n v="1098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009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5D11H"/>
    <n v="1"/>
    <s v="DR"/>
    <s v="D"/>
    <s v="Y"/>
    <s v="Y"/>
    <x v="73"/>
    <s v="YUNF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9.51"/>
    <n v="677.39"/>
    <n v="667.33"/>
    <n v="861.29"/>
    <n v="0"/>
    <n v="0"/>
    <n v="489.51"/>
    <n v="677.39"/>
    <n v="667.33"/>
    <n v="861.29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3D18H"/>
    <n v="1068"/>
    <s v="2018-09-29"/>
    <s v="Historical averaged cost."/>
    <n v="152.66703000000001"/>
    <n v="230.55654000000001"/>
    <n v="230.55654000000001"/>
    <n v="270.17982999999998"/>
    <n v="0"/>
    <n v="0"/>
    <n v="72.621449999999996"/>
    <n v="117.21357999999999"/>
    <n v="117.21357999999999"/>
    <n v="131.86527000000001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8D14H"/>
    <n v="2"/>
    <s v="DR"/>
    <s v="D"/>
    <s v="Y"/>
    <s v="Y"/>
    <x v="73"/>
    <s v="YUNF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8.94"/>
    <n v="566.11"/>
    <n v="556.71"/>
    <n v="735.24"/>
    <n v="0"/>
    <n v="0"/>
    <n v="448.94"/>
    <n v="566.11"/>
    <n v="556.71"/>
    <n v="735.24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20H"/>
    <n v="1019"/>
    <s v="2018-09-29"/>
    <s v="Historical averaged cost."/>
    <n v="152.66703000000001"/>
    <n v="230.55654000000001"/>
    <n v="230.55654000000001"/>
    <n v="270.17982999999998"/>
    <n v="0"/>
    <n v="0"/>
    <n v="72.621449999999996"/>
    <n v="117.21357999999999"/>
    <n v="117.21357999999999"/>
    <n v="131.86527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1D6H"/>
    <n v="2"/>
    <s v="DR"/>
    <s v="D"/>
    <s v="Y"/>
    <s v="Y"/>
    <x v="73"/>
    <s v="YUNF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0.66"/>
    <n v="661.93"/>
    <n v="652.30999999999995"/>
    <n v="835.67"/>
    <n v="0"/>
    <n v="0"/>
    <n v="480.66"/>
    <n v="661.93"/>
    <n v="652.30999999999995"/>
    <n v="835.67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9D12H"/>
    <n v="1085"/>
    <s v="2018-09-29"/>
    <s v="Historical averaged cost."/>
    <n v="152.66703000000001"/>
    <n v="230.55654000000001"/>
    <n v="230.55654000000001"/>
    <n v="270.17982999999998"/>
    <n v="0"/>
    <n v="0"/>
    <n v="72.621449999999996"/>
    <n v="117.21357999999999"/>
    <n v="117.21357999999999"/>
    <n v="131.86527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2D7H"/>
    <n v="1"/>
    <s v="DR"/>
    <s v="D"/>
    <s v="Y"/>
    <s v="Y"/>
    <x v="73"/>
    <s v="YUNF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6.83"/>
    <n v="609.78"/>
    <n v="600.04999999999995"/>
    <n v="763.29"/>
    <n v="0"/>
    <n v="0"/>
    <n v="456.83"/>
    <n v="609.78"/>
    <n v="600.04999999999995"/>
    <n v="763.29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14H"/>
    <n v="1117"/>
    <s v="2018-09-29"/>
    <s v="Historical averaged cost."/>
    <n v="110.87472"/>
    <n v="166.13449"/>
    <n v="166.13449"/>
    <n v="183.10584"/>
    <n v="0"/>
    <n v="0"/>
    <n v="89.184240000000003"/>
    <n v="127.40606"/>
    <n v="127.40606"/>
    <n v="143.33181999999999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7D14H"/>
    <n v="1"/>
    <s v="DR"/>
    <s v="D"/>
    <s v="Y"/>
    <s v="Y"/>
    <x v="73"/>
    <s v="YUNF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9.78"/>
    <n v="606.4"/>
    <n v="596.01"/>
    <n v="785.88"/>
    <n v="0"/>
    <n v="0"/>
    <n v="439.78"/>
    <n v="606.4"/>
    <n v="596.01"/>
    <n v="785.88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5D20H"/>
    <n v="1098"/>
    <s v="2018-09-29"/>
    <s v="Historical averaged cost."/>
    <n v="152.66703000000001"/>
    <n v="230.55654000000001"/>
    <n v="230.55654000000001"/>
    <n v="270.17982999999998"/>
    <n v="0"/>
    <n v="0"/>
    <n v="72.621449999999996"/>
    <n v="117.21357999999999"/>
    <n v="117.21357999999999"/>
    <n v="131.86527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5D7H"/>
    <n v="1"/>
    <s v="DR"/>
    <s v="D"/>
    <s v="Y"/>
    <s v="Y"/>
    <x v="73"/>
    <s v="YUNF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3.38"/>
    <n v="578.83000000000004"/>
    <n v="569.87"/>
    <n v="721.98"/>
    <n v="0"/>
    <n v="0"/>
    <n v="493.38"/>
    <n v="578.83000000000004"/>
    <n v="569.87"/>
    <n v="721.98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3D14H"/>
    <n v="949"/>
    <s v="2018-09-29"/>
    <s v="Historical averaged cost."/>
    <n v="110.87472"/>
    <n v="166.13449"/>
    <n v="166.13449"/>
    <n v="183.10584"/>
    <n v="0"/>
    <n v="0"/>
    <n v="89.184240000000003"/>
    <n v="127.40606"/>
    <n v="127.40606"/>
    <n v="143.33181999999999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5D7H"/>
    <n v="3"/>
    <s v="DR"/>
    <s v="D"/>
    <s v="Y"/>
    <s v="Y"/>
    <x v="73"/>
    <s v="YUNFU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5.37"/>
    <n v="723.53"/>
    <n v="714.57"/>
    <n v="871.31"/>
    <n v="0"/>
    <n v="0"/>
    <n v="595.37"/>
    <n v="723.53"/>
    <n v="714.57"/>
    <n v="871.31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3D14H"/>
    <n v="949"/>
    <s v="2018-09-29"/>
    <s v="Historical averaged cost."/>
    <n v="110.87472"/>
    <n v="166.13449"/>
    <n v="166.13449"/>
    <n v="183.10584"/>
    <n v="0"/>
    <n v="0"/>
    <n v="89.184240000000003"/>
    <n v="127.40606"/>
    <n v="127.40606"/>
    <n v="143.33181999999999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6D0H"/>
    <n v="1"/>
    <s v="DR"/>
    <s v="D"/>
    <s v="Y"/>
    <s v="Y"/>
    <x v="73"/>
    <s v="YUNF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2.98"/>
    <n v="581.44000000000005"/>
    <n v="572.37"/>
    <n v="747.12"/>
    <n v="0"/>
    <n v="0"/>
    <n v="422.98"/>
    <n v="581.44000000000005"/>
    <n v="572.37"/>
    <n v="747.12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4D7H"/>
    <n v="975"/>
    <s v="2018-09-29"/>
    <s v="Historical averaged cost."/>
    <n v="152.66703000000001"/>
    <n v="230.55654000000001"/>
    <n v="230.55654000000001"/>
    <n v="270.17982999999998"/>
    <n v="0"/>
    <n v="0"/>
    <n v="72.621449999999996"/>
    <n v="117.21357999999999"/>
    <n v="117.21357999999999"/>
    <n v="131.86527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8D8H"/>
    <n v="1"/>
    <s v="DR"/>
    <s v="D"/>
    <s v="Y"/>
    <s v="Y"/>
    <x v="73"/>
    <s v="YUNFU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8"/>
    <n v="539.66999999999996"/>
    <n v="530.38"/>
    <n v="696.25"/>
    <n v="0"/>
    <n v="0"/>
    <n v="428"/>
    <n v="539.66999999999996"/>
    <n v="530.38"/>
    <n v="696.25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8.532589999999999"/>
    <n v="132.29938999999999"/>
    <n v="132.29938999999999"/>
    <n v="162.43816000000001"/>
    <n v="0"/>
    <n v="0"/>
    <n v="117.21357999999999"/>
    <n v="191.10909000000001"/>
    <n v="191.10909000000001"/>
    <n v="203.84970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8D14H"/>
    <n v="2"/>
    <s v="DR"/>
    <s v="D"/>
    <s v="Y"/>
    <s v="Y"/>
    <x v="73"/>
    <s v="YUNF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27.18"/>
    <n v="587.67999999999995"/>
    <n v="578.28"/>
    <n v="756.81"/>
    <n v="0"/>
    <n v="0"/>
    <n v="427.18"/>
    <n v="587.67999999999995"/>
    <n v="578.28"/>
    <n v="756.81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20H"/>
    <n v="1019"/>
    <s v="2018-09-29"/>
    <s v="Historical averaged cost."/>
    <n v="152.66703000000001"/>
    <n v="230.55654000000001"/>
    <n v="230.55654000000001"/>
    <n v="270.17982999999998"/>
    <n v="0"/>
    <n v="0"/>
    <n v="72.621449999999996"/>
    <n v="117.21357999999999"/>
    <n v="117.21357999999999"/>
    <n v="131.86527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8D8H"/>
    <n v="2"/>
    <s v="DR"/>
    <s v="D"/>
    <s v="Y"/>
    <s v="Y"/>
    <x v="73"/>
    <s v="YUNFU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06.24"/>
    <n v="561.24"/>
    <n v="551.95000000000005"/>
    <n v="717.82"/>
    <n v="0"/>
    <n v="0"/>
    <n v="406.24"/>
    <n v="561.24"/>
    <n v="551.95000000000005"/>
    <n v="717.82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8.532589999999999"/>
    <n v="132.29938999999999"/>
    <n v="132.29938999999999"/>
    <n v="162.43816000000001"/>
    <n v="0"/>
    <n v="0"/>
    <n v="117.21357999999999"/>
    <n v="191.10909000000001"/>
    <n v="191.10909000000001"/>
    <n v="203.84970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4D6H"/>
    <n v="1"/>
    <s v="DR"/>
    <s v="D"/>
    <s v="Y"/>
    <s v="Y"/>
    <x v="73"/>
    <s v="YUNFU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0.86"/>
    <n v="647.37"/>
    <n v="638.52"/>
    <n v="813.06"/>
    <n v="0"/>
    <n v="0"/>
    <n v="470.86"/>
    <n v="647.37"/>
    <n v="638.52"/>
    <n v="813.06"/>
    <n v="0"/>
    <n v="0"/>
    <s v="CNYNF"/>
    <n v="-5.7006486809999997"/>
    <n v="-40.672239628"/>
    <n v="-51.810444322000002"/>
    <n v="45.971379276999997"/>
    <n v="0"/>
    <n v="0"/>
    <n v="-5.7006486809999997"/>
    <n v="-40.672239628"/>
    <n v="-51.810444322000002"/>
    <n v="45.9713792769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2D12H"/>
    <n v="932"/>
    <s v="2018-09-29"/>
    <s v="Historical averaged cost."/>
    <n v="152.66703000000001"/>
    <n v="230.55654000000001"/>
    <n v="230.55654000000001"/>
    <n v="270.17982999999998"/>
    <n v="0"/>
    <n v="0"/>
    <n v="72.621449999999996"/>
    <n v="117.21357999999999"/>
    <n v="117.21357999999999"/>
    <n v="131.86527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623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7D3H"/>
    <n v="1"/>
    <s v="DR"/>
    <s v="D"/>
    <s v="Y"/>
    <s v="Y"/>
    <x v="69"/>
    <s v="ZHANJIA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7.5"/>
    <n v="718.91"/>
    <n v="1027.46"/>
    <n v="798.23"/>
    <n v="0"/>
    <n v="0"/>
    <n v="467.5"/>
    <n v="718.91"/>
    <n v="1027.46"/>
    <n v="798.23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5D10H"/>
    <n v="975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5D2H"/>
    <n v="3"/>
    <s v="DR"/>
    <s v="D"/>
    <s v="Y"/>
    <s v="Y"/>
    <x v="69"/>
    <s v="ZHANJIANG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3.59"/>
    <n v="867.84"/>
    <n v="1176.6099999999999"/>
    <n v="953.08"/>
    <n v="0"/>
    <n v="0"/>
    <n v="643.59"/>
    <n v="867.84"/>
    <n v="1176.6099999999999"/>
    <n v="953.08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3D9H"/>
    <n v="949"/>
    <s v="2018-09-29"/>
    <s v="Historical averaged cost."/>
    <n v="110.87472"/>
    <n v="166.13449"/>
    <n v="166.13449"/>
    <n v="183.10584"/>
    <n v="0"/>
    <n v="0"/>
    <n v="121.03576"/>
    <n v="210.22"/>
    <n v="210.22"/>
    <n v="236.46565000000001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8D8H"/>
    <n v="2"/>
    <s v="DR"/>
    <s v="D"/>
    <s v="Y"/>
    <s v="Y"/>
    <x v="69"/>
    <s v="ZHANJIANG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1.91"/>
    <n v="667.33"/>
    <n v="975.77"/>
    <n v="767.75"/>
    <n v="0"/>
    <n v="0"/>
    <n v="451.91"/>
    <n v="667.33"/>
    <n v="975.77"/>
    <n v="767.75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8.532589999999999"/>
    <n v="132.29938999999999"/>
    <n v="132.29938999999999"/>
    <n v="162.43816000000001"/>
    <n v="0"/>
    <n v="0"/>
    <n v="146.51696999999999"/>
    <n v="235.70121"/>
    <n v="235.70121"/>
    <n v="265.13200999999998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5D9H"/>
    <n v="1"/>
    <s v="DR"/>
    <s v="D"/>
    <s v="Y"/>
    <s v="Y"/>
    <x v="69"/>
    <s v="ZHANJIA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5.38"/>
    <n v="784.84"/>
    <n v="1093.6099999999999"/>
    <n v="864.17"/>
    <n v="0"/>
    <n v="0"/>
    <n v="515.38"/>
    <n v="784.84"/>
    <n v="1093.6099999999999"/>
    <n v="864.17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3D15H"/>
    <n v="932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8D8H"/>
    <n v="1"/>
    <s v="DR"/>
    <s v="D"/>
    <s v="Y"/>
    <s v="Y"/>
    <x v="69"/>
    <s v="ZHANJIANG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3.67"/>
    <n v="645.76"/>
    <n v="954.2"/>
    <n v="746.17"/>
    <n v="0"/>
    <n v="0"/>
    <n v="473.67"/>
    <n v="645.76"/>
    <n v="954.2"/>
    <n v="746.17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8.532589999999999"/>
    <n v="132.29938999999999"/>
    <n v="132.29938999999999"/>
    <n v="162.43816000000001"/>
    <n v="0"/>
    <n v="0"/>
    <n v="146.51696999999999"/>
    <n v="235.70121"/>
    <n v="235.70121"/>
    <n v="265.13200999999998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9D17H"/>
    <n v="2"/>
    <s v="DR"/>
    <s v="D"/>
    <s v="Y"/>
    <s v="Y"/>
    <x v="69"/>
    <s v="ZHANJIA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3.46"/>
    <n v="703.58"/>
    <n v="1011.8"/>
    <n v="786.35"/>
    <n v="0"/>
    <n v="0"/>
    <n v="493.46"/>
    <n v="703.58"/>
    <n v="1011.8"/>
    <n v="786.35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7D23H"/>
    <n v="1019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6D14H"/>
    <n v="1"/>
    <s v="DR"/>
    <s v="D"/>
    <s v="Y"/>
    <s v="Y"/>
    <x v="69"/>
    <s v="ZHANJIA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5.42999999999995"/>
    <n v="816.94"/>
    <n v="1124.3900000000001"/>
    <n v="915.64"/>
    <n v="0"/>
    <n v="0"/>
    <n v="535.42999999999995"/>
    <n v="816.94"/>
    <n v="1124.3900000000001"/>
    <n v="915.64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4D21H"/>
    <n v="1068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5D2H"/>
    <n v="1"/>
    <s v="DR"/>
    <s v="D"/>
    <s v="Y"/>
    <s v="Y"/>
    <x v="69"/>
    <s v="ZHANJIANG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1.6"/>
    <n v="723.14"/>
    <n v="1031.9100000000001"/>
    <n v="803.76"/>
    <n v="0"/>
    <n v="0"/>
    <n v="541.6"/>
    <n v="723.14"/>
    <n v="1031.9100000000001"/>
    <n v="803.76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3D9H"/>
    <n v="949"/>
    <s v="2018-09-29"/>
    <s v="Historical averaged cost."/>
    <n v="110.87472"/>
    <n v="166.13449"/>
    <n v="166.13449"/>
    <n v="183.10584"/>
    <n v="0"/>
    <n v="0"/>
    <n v="121.03576"/>
    <n v="210.22"/>
    <n v="210.22"/>
    <n v="236.46565000000001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8D17H"/>
    <n v="1"/>
    <s v="DR"/>
    <s v="D"/>
    <s v="Y"/>
    <s v="Y"/>
    <x v="69"/>
    <s v="ZHANJIA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4.3"/>
    <n v="743.87"/>
    <n v="1051.0999999999999"/>
    <n v="836.99"/>
    <n v="0"/>
    <n v="0"/>
    <n v="484.3"/>
    <n v="743.87"/>
    <n v="1051.0999999999999"/>
    <n v="836.99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6D23H"/>
    <n v="1098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9D17H"/>
    <n v="2"/>
    <s v="DR"/>
    <s v="D"/>
    <s v="Y"/>
    <s v="Y"/>
    <x v="69"/>
    <s v="ZHANJIA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71.7"/>
    <n v="725.15"/>
    <n v="1033.3699999999999"/>
    <n v="807.92"/>
    <n v="0"/>
    <n v="0"/>
    <n v="471.7"/>
    <n v="725.15"/>
    <n v="1033.3699999999999"/>
    <n v="807.92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7D23H"/>
    <n v="1019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2D9H"/>
    <n v="2"/>
    <s v="DR"/>
    <s v="D"/>
    <s v="Y"/>
    <s v="Y"/>
    <x v="69"/>
    <s v="ZHANJIANG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5.17999999999995"/>
    <n v="799.4"/>
    <n v="1107.4000000000001"/>
    <n v="886.78"/>
    <n v="0"/>
    <n v="0"/>
    <n v="525.17999999999995"/>
    <n v="799.4"/>
    <n v="1107.4000000000001"/>
    <n v="886.78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15H"/>
    <n v="1085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2D2H"/>
    <n v="1"/>
    <s v="DR"/>
    <s v="D"/>
    <s v="Y"/>
    <s v="Y"/>
    <x v="69"/>
    <s v="ZHANJIANG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05.05"/>
    <n v="754.09"/>
    <n v="1062.0899999999999"/>
    <n v="845.07"/>
    <n v="0"/>
    <n v="0"/>
    <n v="505.05"/>
    <n v="754.09"/>
    <n v="1062.0899999999999"/>
    <n v="845.07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9H"/>
    <n v="1117"/>
    <s v="2018-09-29"/>
    <s v="Historical averaged cost."/>
    <n v="110.87472"/>
    <n v="166.13449"/>
    <n v="166.13449"/>
    <n v="183.10584"/>
    <n v="0"/>
    <n v="0"/>
    <n v="121.03576"/>
    <n v="210.22"/>
    <n v="210.22"/>
    <n v="236.46565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334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8H"/>
    <n v="1"/>
    <s v="DR"/>
    <s v="D"/>
    <s v="Y"/>
    <s v="Y"/>
    <x v="55"/>
    <s v="ZHONGSH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6.05"/>
    <n v="993.56"/>
    <n v="927.78"/>
    <n v="1196.7"/>
    <n v="0"/>
    <n v="0"/>
    <n v="666.05"/>
    <n v="993.56"/>
    <n v="927.78"/>
    <n v="1196.7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14H"/>
    <n v="932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16H"/>
    <n v="1"/>
    <s v="DR"/>
    <s v="D"/>
    <s v="Y"/>
    <s v="Y"/>
    <x v="55"/>
    <s v="ZHONGSH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4.97"/>
    <n v="952.6"/>
    <n v="885.27"/>
    <n v="1169.52"/>
    <n v="0"/>
    <n v="0"/>
    <n v="634.97"/>
    <n v="952.6"/>
    <n v="885.27"/>
    <n v="1169.52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4D22H"/>
    <n v="1098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5D5H"/>
    <n v="1"/>
    <s v="DR"/>
    <s v="D"/>
    <s v="Y"/>
    <s v="Y"/>
    <x v="55"/>
    <s v="ZHONGSHA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9.28"/>
    <n v="979.34"/>
    <n v="913.33"/>
    <n v="1166.19"/>
    <n v="0"/>
    <n v="0"/>
    <n v="719.28"/>
    <n v="979.34"/>
    <n v="913.33"/>
    <n v="1166.19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3D12H"/>
    <n v="949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13H"/>
    <n v="1"/>
    <s v="DR"/>
    <s v="D"/>
    <s v="Y"/>
    <s v="Y"/>
    <x v="55"/>
    <s v="ZHONGSH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6.1"/>
    <n v="1025.6600000000001"/>
    <n v="958.56"/>
    <n v="1248.1600000000001"/>
    <n v="0"/>
    <n v="0"/>
    <n v="686.1"/>
    <n v="1025.6600000000001"/>
    <n v="958.56"/>
    <n v="1248.1600000000001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2D20H"/>
    <n v="1068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16H"/>
    <n v="2"/>
    <s v="DR"/>
    <s v="D"/>
    <s v="Y"/>
    <s v="Y"/>
    <x v="55"/>
    <s v="ZHONGSH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14"/>
    <n v="912.31"/>
    <n v="845.97"/>
    <n v="1118.8800000000001"/>
    <n v="0"/>
    <n v="0"/>
    <n v="644.14"/>
    <n v="912.31"/>
    <n v="845.97"/>
    <n v="1118.8800000000001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2H"/>
    <n v="1019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8H"/>
    <n v="2"/>
    <s v="DR"/>
    <s v="D"/>
    <s v="Y"/>
    <s v="Y"/>
    <x v="55"/>
    <s v="ZHONGSH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5.85"/>
    <n v="1008.12"/>
    <n v="941.57"/>
    <n v="1219.31"/>
    <n v="0"/>
    <n v="0"/>
    <n v="675.85"/>
    <n v="1008.12"/>
    <n v="941.57"/>
    <n v="1219.31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14H"/>
    <n v="1085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2D5H"/>
    <n v="1"/>
    <s v="DR"/>
    <s v="D"/>
    <s v="Y"/>
    <s v="Y"/>
    <x v="55"/>
    <s v="ZHONGSHA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2.73"/>
    <n v="1010.29"/>
    <n v="943.51"/>
    <n v="1207.5"/>
    <n v="0"/>
    <n v="0"/>
    <n v="682.73"/>
    <n v="1010.29"/>
    <n v="943.51"/>
    <n v="1207.5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12H"/>
    <n v="1117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6D21H"/>
    <n v="2"/>
    <s v="DR"/>
    <s v="D"/>
    <s v="Y"/>
    <s v="Y"/>
    <x v="55"/>
    <s v="ZHONGSHA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82000000000005"/>
    <n v="921.45"/>
    <n v="855.22"/>
    <n v="1123.76"/>
    <n v="0"/>
    <n v="0"/>
    <n v="621.82000000000005"/>
    <n v="921.45"/>
    <n v="855.22"/>
    <n v="1123.76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4H"/>
    <n v="1008"/>
    <s v="2018-09-29"/>
    <s v="Historical averaged cost."/>
    <n v="88.532589999999999"/>
    <n v="132.29938999999999"/>
    <n v="132.29938999999999"/>
    <n v="162.43816000000001"/>
    <n v="0"/>
    <n v="0"/>
    <n v="133.77636000000001"/>
    <n v="197.47939"/>
    <n v="197.47939"/>
    <n v="216.59030000000001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16H"/>
    <n v="2"/>
    <s v="DR"/>
    <s v="D"/>
    <s v="Y"/>
    <s v="Y"/>
    <x v="55"/>
    <s v="ZHONGSH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37"/>
    <n v="933.88"/>
    <n v="867.54"/>
    <n v="1140.45"/>
    <n v="0"/>
    <n v="0"/>
    <n v="622.37"/>
    <n v="933.88"/>
    <n v="867.54"/>
    <n v="1140.45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2H"/>
    <n v="1019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6D21H"/>
    <n v="1"/>
    <s v="DR"/>
    <s v="D"/>
    <s v="Y"/>
    <s v="Y"/>
    <x v="55"/>
    <s v="ZHONGSHAN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3.58000000000004"/>
    <n v="899.88"/>
    <n v="833.65"/>
    <n v="1102.19"/>
    <n v="0"/>
    <n v="0"/>
    <n v="643.58000000000004"/>
    <n v="899.88"/>
    <n v="833.65"/>
    <n v="1102.19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4H"/>
    <n v="1008"/>
    <s v="2018-09-29"/>
    <s v="Historical averaged cost."/>
    <n v="88.532589999999999"/>
    <n v="132.29938999999999"/>
    <n v="132.29938999999999"/>
    <n v="162.43816000000001"/>
    <n v="0"/>
    <n v="0"/>
    <n v="133.77636000000001"/>
    <n v="197.47939"/>
    <n v="197.47939"/>
    <n v="216.59030000000001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5D2H"/>
    <n v="1"/>
    <s v="DR"/>
    <s v="D"/>
    <s v="Y"/>
    <s v="Y"/>
    <x v="55"/>
    <s v="ZHONGSHAN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8.16999999999996"/>
    <n v="927.64"/>
    <n v="861.63"/>
    <n v="1130.76"/>
    <n v="0"/>
    <n v="0"/>
    <n v="618.16999999999996"/>
    <n v="927.64"/>
    <n v="861.63"/>
    <n v="1130.76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9H"/>
    <n v="975"/>
    <s v="2018-09-29"/>
    <s v="Historical averaged cost."/>
    <n v="152.66703000000001"/>
    <n v="230.55654000000001"/>
    <n v="230.55654000000001"/>
    <n v="270.17982999999998"/>
    <n v="0"/>
    <n v="0"/>
    <n v="68.799270000000007"/>
    <n v="109.56921"/>
    <n v="109.56921"/>
    <n v="122.30982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5D5H"/>
    <n v="3"/>
    <s v="DR"/>
    <s v="D"/>
    <s v="Y"/>
    <s v="Y"/>
    <x v="55"/>
    <s v="ZHONGSHAN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1.27"/>
    <n v="1124.04"/>
    <n v="1058.04"/>
    <n v="1315.51"/>
    <n v="0"/>
    <n v="0"/>
    <n v="821.27"/>
    <n v="1124.04"/>
    <n v="1058.04"/>
    <n v="1315.51"/>
    <n v="0"/>
    <n v="0"/>
    <s v="CNZSN"/>
    <n v="194.717387441"/>
    <n v="315.24494938300001"/>
    <n v="247.060503431"/>
    <n v="442.39840547799997"/>
    <n v="0"/>
    <n v="0"/>
    <n v="194.717387441"/>
    <n v="315.24494938300001"/>
    <n v="247.060503431"/>
    <n v="442.39840547799997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3D12H"/>
    <n v="949"/>
    <s v="2018-09-29"/>
    <s v="Historical averaged cost."/>
    <n v="110.87472"/>
    <n v="166.13449"/>
    <n v="166.13449"/>
    <n v="183.10584"/>
    <n v="0"/>
    <n v="0"/>
    <n v="114.66545000000001"/>
    <n v="171.99817999999999"/>
    <n v="171.99817999999999"/>
    <n v="191.10909000000001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24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7D17H"/>
    <n v="2"/>
    <s v="DR"/>
    <s v="D"/>
    <s v="Y"/>
    <s v="Y"/>
    <x v="56"/>
    <s v="ZHUHAI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4.46"/>
    <n v="893.68"/>
    <n v="815"/>
    <n v="977.86"/>
    <n v="0"/>
    <n v="0"/>
    <n v="604.46"/>
    <n v="893.68"/>
    <n v="815"/>
    <n v="977.86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3H"/>
    <n v="1019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MXZLO-(AX3)"/>
    <s v="45D5H"/>
    <n v="1"/>
    <s v="DR"/>
    <s v="D"/>
    <s v="Y"/>
    <s v="Y"/>
    <x v="56"/>
    <s v="ZHUHAI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5.5"/>
    <n v="876.72"/>
    <n v="798.36"/>
    <n v="937.34"/>
    <n v="0"/>
    <n v="0"/>
    <n v="655.5"/>
    <n v="876.72"/>
    <n v="798.36"/>
    <n v="937.34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3D12H"/>
    <n v="949"/>
    <s v="2018-09-29"/>
    <s v="Historical averaged cost."/>
    <n v="111.87472"/>
    <n v="167.13449"/>
    <n v="167.13449"/>
    <n v="184.10584"/>
    <n v="0"/>
    <n v="0"/>
    <n v="53.510550000000002"/>
    <n v="82.813940000000002"/>
    <n v="82.813940000000002"/>
    <n v="95.554540000000003"/>
    <n v="0"/>
    <n v="0"/>
    <n v="25.4"/>
    <n v="25.4"/>
    <n v="25.4"/>
    <n v="1.8"/>
    <n v="0"/>
    <n v="0"/>
    <n v="0"/>
    <n v="0"/>
    <n v="0"/>
    <n v="0"/>
    <n v="0"/>
    <n v="0"/>
    <n v="200.69800000000001"/>
    <n v="200.69800000000001"/>
    <n v="200.69800000000001"/>
    <n v="200.6980000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MD2)-KRPUS-(AX3)"/>
    <s v="56D17H"/>
    <n v="1"/>
    <s v="DR"/>
    <s v="D"/>
    <s v="Y"/>
    <s v="Y"/>
    <x v="56"/>
    <s v="ZHUHAI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7.05999999999995"/>
    <n v="912.4"/>
    <n v="832.73"/>
    <n v="1006.93"/>
    <n v="0"/>
    <n v="0"/>
    <n v="617.05999999999995"/>
    <n v="912.4"/>
    <n v="832.73"/>
    <n v="1006.93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MD2"/>
    <s v="AX3"/>
    <s v="F"/>
    <m/>
    <s v="S"/>
    <s v="54D23H"/>
    <n v="1098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8D8H"/>
    <n v="1"/>
    <s v="DR"/>
    <s v="D"/>
    <s v="Y"/>
    <s v="Y"/>
    <x v="56"/>
    <s v="ZHUHAI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4.13"/>
    <n v="850.3"/>
    <n v="771.61"/>
    <n v="927.54"/>
    <n v="0"/>
    <n v="0"/>
    <n v="604.13"/>
    <n v="850.3"/>
    <n v="771.61"/>
    <n v="927.54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9.532589999999999"/>
    <n v="133.29938999999999"/>
    <n v="133.29938999999999"/>
    <n v="163.43816000000001"/>
    <n v="0"/>
    <n v="0"/>
    <n v="95.554540000000003"/>
    <n v="159.25756999999999"/>
    <n v="159.25756999999999"/>
    <n v="171.99817999999999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NX2)-KRPUS-(AX3)"/>
    <s v="45D3H"/>
    <n v="1"/>
    <s v="DR"/>
    <s v="D"/>
    <s v="Y"/>
    <s v="Y"/>
    <x v="56"/>
    <s v="ZHUHAI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0.26"/>
    <n v="887.44"/>
    <n v="809.09"/>
    <n v="968.17"/>
    <n v="0"/>
    <n v="0"/>
    <n v="600.26"/>
    <n v="887.44"/>
    <n v="809.09"/>
    <n v="968.17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NX2"/>
    <s v="AX3"/>
    <s v="F"/>
    <m/>
    <s v="S"/>
    <s v="43D10H"/>
    <n v="975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0D9H"/>
    <n v="2"/>
    <s v="DR"/>
    <s v="D"/>
    <s v="Y"/>
    <s v="Y"/>
    <x v="56"/>
    <s v="ZHUHAI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7.93"/>
    <n v="967.93"/>
    <n v="889.02"/>
    <n v="1056.72"/>
    <n v="0"/>
    <n v="0"/>
    <n v="657.93"/>
    <n v="967.93"/>
    <n v="889.02"/>
    <n v="1056.72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48D15H"/>
    <n v="1085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1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CSW)-KRPUS-(AX3)"/>
    <s v="43D9H"/>
    <n v="1"/>
    <s v="DR"/>
    <s v="D"/>
    <s v="Y"/>
    <s v="Y"/>
    <x v="56"/>
    <s v="ZHUHAI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8.13"/>
    <n v="953.37"/>
    <n v="875.23"/>
    <n v="1034.1099999999999"/>
    <n v="0"/>
    <n v="0"/>
    <n v="648.13"/>
    <n v="953.37"/>
    <n v="875.23"/>
    <n v="1034.1099999999999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CSW"/>
    <s v="AX3"/>
    <s v="F"/>
    <m/>
    <s v="S"/>
    <s v="41D15H"/>
    <n v="932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1)-KRPUS-(AX3)"/>
    <s v="48D8H"/>
    <n v="2"/>
    <s v="DR"/>
    <s v="D"/>
    <s v="Y"/>
    <s v="Y"/>
    <x v="56"/>
    <s v="ZHUHAI, GUANGDONG"/>
    <x v="8"/>
    <s v="YANTIAN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2.36"/>
    <n v="871.87"/>
    <n v="793.18"/>
    <n v="949.11"/>
    <n v="0"/>
    <n v="0"/>
    <n v="582.36"/>
    <n v="871.87"/>
    <n v="793.18"/>
    <n v="949.11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6D15H"/>
    <n v="1008"/>
    <s v="2018-09-29"/>
    <s v="Historical averaged cost."/>
    <n v="89.532589999999999"/>
    <n v="133.29938999999999"/>
    <n v="133.29938999999999"/>
    <n v="163.43816000000001"/>
    <n v="0"/>
    <n v="0"/>
    <n v="95.554540000000003"/>
    <n v="159.25756999999999"/>
    <n v="159.25756999999999"/>
    <n v="171.99817999999999"/>
    <n v="0"/>
    <n v="0"/>
    <n v="25.4"/>
    <n v="25.4"/>
    <n v="25.4"/>
    <n v="1.8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AX1)-MXZLO-(AX3)"/>
    <s v="47D17H"/>
    <n v="2"/>
    <s v="DR"/>
    <s v="D"/>
    <s v="Y"/>
    <s v="Y"/>
    <x v="56"/>
    <s v="ZHUHAI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6.22"/>
    <n v="872.11"/>
    <n v="793.43"/>
    <n v="956.29"/>
    <n v="0"/>
    <n v="0"/>
    <n v="626.22"/>
    <n v="872.11"/>
    <n v="793.43"/>
    <n v="956.29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1"/>
    <s v="AX3"/>
    <s v="F"/>
    <m/>
    <s v="S"/>
    <s v="45D23H"/>
    <n v="1019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25.4"/>
    <n v="25.4"/>
    <n v="25.4"/>
    <n v="1.8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AX2)-KRPUS-(AX3)"/>
    <s v="52D5H"/>
    <n v="1"/>
    <s v="DR"/>
    <s v="D"/>
    <s v="Y"/>
    <s v="Y"/>
    <x v="56"/>
    <s v="ZHUHAI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8.94000000000005"/>
    <n v="907.67"/>
    <n v="828.54"/>
    <n v="978.65"/>
    <n v="0"/>
    <n v="0"/>
    <n v="618.94000000000005"/>
    <n v="907.67"/>
    <n v="828.54"/>
    <n v="978.65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S"/>
    <s v="50D12H"/>
    <n v="1117"/>
    <s v="2018-09-29"/>
    <s v="Historical averaged cost."/>
    <n v="111.87472"/>
    <n v="167.13449"/>
    <n v="167.13449"/>
    <n v="184.10584"/>
    <n v="0"/>
    <n v="0"/>
    <n v="53.510550000000002"/>
    <n v="82.813940000000002"/>
    <n v="82.813940000000002"/>
    <n v="95.554540000000003"/>
    <n v="0"/>
    <n v="0"/>
    <n v="25.4"/>
    <n v="25.4"/>
    <n v="25.4"/>
    <n v="1.8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3"/>
    <s v="E"/>
    <s v="(KME)-KRPUS-(AX3)"/>
    <s v="54D14H"/>
    <n v="1"/>
    <s v="DR"/>
    <s v="D"/>
    <s v="Y"/>
    <s v="Y"/>
    <x v="56"/>
    <s v="ZHUHAI, GUANGDONG"/>
    <x v="7"/>
    <s v="HONG K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8.18"/>
    <n v="985.47"/>
    <n v="906.02"/>
    <n v="1085.57"/>
    <n v="0"/>
    <n v="0"/>
    <n v="668.18"/>
    <n v="985.47"/>
    <n v="906.02"/>
    <n v="1085.57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KME"/>
    <s v="AX3"/>
    <s v="F"/>
    <m/>
    <s v="S"/>
    <s v="52D21H"/>
    <n v="1068"/>
    <s v="2018-09-29"/>
    <s v="Historical averaged cost."/>
    <n v="153.66703000000001"/>
    <n v="231.55654000000001"/>
    <n v="231.55654000000001"/>
    <n v="271.17982999999998"/>
    <n v="0"/>
    <n v="0"/>
    <n v="53.510550000000002"/>
    <n v="82.813940000000002"/>
    <n v="82.813940000000002"/>
    <n v="93.006420000000006"/>
    <n v="0"/>
    <n v="0"/>
    <n v="25.4"/>
    <n v="25.4"/>
    <n v="25.4"/>
    <n v="1.8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2"/>
    <s v="E"/>
    <s v="(AX2)-KRPUS-(AX2)-MXZLO-(AX3)"/>
    <s v="45D5H"/>
    <n v="3"/>
    <s v="DR"/>
    <s v="D"/>
    <s v="Y"/>
    <s v="Y"/>
    <x v="56"/>
    <s v="ZHUHAI, GUANGDONG"/>
    <x v="9"/>
    <s v="SHEKOU, GUANGDONG"/>
    <x v="6"/>
    <s v="GUAYAQUIL"/>
    <s v="ECGYE"/>
    <s v="GUAYAQUIL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7.48"/>
    <n v="1021.42"/>
    <n v="943.07"/>
    <n v="1086.67"/>
    <n v="0"/>
    <n v="0"/>
    <n v="757.48"/>
    <n v="1021.42"/>
    <n v="943.07"/>
    <n v="1086.67"/>
    <n v="0"/>
    <n v="0"/>
    <s v="CNZUH"/>
    <n v="191.08739168"/>
    <n v="300.80368573999999"/>
    <n v="220.27449310399999"/>
    <n v="308.11060357299999"/>
    <n v="0"/>
    <n v="0"/>
    <n v="191.08739168"/>
    <n v="300.80368573999999"/>
    <n v="220.27449310399999"/>
    <n v="308.11060357299999"/>
    <n v="0"/>
    <n v="0"/>
    <s v="ECGYE"/>
    <n v="9.9244825710000004"/>
    <n v="6.2665161249999999"/>
    <n v="13.392734296"/>
    <n v="1.724899212"/>
    <n v="0"/>
    <n v="0"/>
    <n v="9.9244825710000004"/>
    <n v="6.2665161249999999"/>
    <n v="13.392734296"/>
    <n v="1.724899212"/>
    <n v="0"/>
    <n v="0"/>
    <m/>
    <m/>
    <m/>
    <m/>
    <m/>
    <m/>
    <n v="531.92999999999995"/>
    <n v="777.13"/>
    <n v="777.13"/>
    <n v="0"/>
    <n v="0"/>
    <n v="0"/>
    <m/>
    <m/>
    <m/>
    <m/>
    <m/>
    <m/>
    <m/>
    <m/>
    <m/>
    <m/>
    <m/>
    <m/>
    <s v="AX2"/>
    <s v="AX3"/>
    <s v="F"/>
    <m/>
    <s v="T"/>
    <s v="43D12H"/>
    <n v="949"/>
    <s v="2018-09-29"/>
    <s v="Historical averaged cost."/>
    <n v="111.87472"/>
    <n v="167.13449"/>
    <n v="167.13449"/>
    <n v="184.10584"/>
    <n v="0"/>
    <n v="0"/>
    <n v="53.510550000000002"/>
    <n v="82.813940000000002"/>
    <n v="82.813940000000002"/>
    <n v="95.554540000000003"/>
    <n v="0"/>
    <n v="0"/>
    <n v="25.4"/>
    <n v="25.4"/>
    <n v="25.4"/>
    <n v="1.8"/>
    <n v="0"/>
    <n v="0"/>
    <n v="0"/>
    <n v="0"/>
    <n v="0"/>
    <n v="0"/>
    <n v="0"/>
    <n v="0"/>
    <n v="302.68532800000003"/>
    <n v="345.39999599999999"/>
    <n v="345.39999599999999"/>
    <n v="350.02399200000002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076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0"/>
    <x v="0"/>
    <x v="0"/>
    <x v="3"/>
    <x v="3"/>
    <x v="3"/>
    <x v="0"/>
    <x v="0"/>
    <x v="0"/>
    <m/>
    <m/>
    <m/>
    <m/>
    <m/>
    <m/>
  </r>
  <r>
    <s v="LW"/>
    <s v="LWE"/>
    <s v="LWT"/>
    <s v="LW"/>
    <s v="AX1"/>
    <s v="E"/>
    <s v="(JT1)-KRPUS-(AX1)"/>
    <s v="47D5H"/>
    <n v="1"/>
    <s v="DR"/>
    <s v="D"/>
    <s v="Y"/>
    <s v="D"/>
    <x v="74"/>
    <s v="CAI MEP"/>
    <x v="12"/>
    <s v="CAI MEP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0.49"/>
    <n v="832.91"/>
    <n v="820.76"/>
    <n v="949.13"/>
    <n v="0"/>
    <n v="0"/>
    <n v="540.49"/>
    <n v="832.91"/>
    <n v="820.76"/>
    <n v="949.13"/>
    <n v="0"/>
    <n v="0"/>
    <s v="VNCMP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T1"/>
    <s v="AX1"/>
    <m/>
    <s v="T"/>
    <s v="S"/>
    <s v="46D2H"/>
    <n v="960"/>
    <s v="2018-09-29"/>
    <s v="Historical averaged cost."/>
    <n v="46.12"/>
    <n v="68.180000000000007"/>
    <n v="68.180000000000007"/>
    <n v="75.18000000000000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4233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JS2)-HKHKG-(AX1)"/>
    <s v="53D13H"/>
    <n v="1"/>
    <s v="DR"/>
    <s v="D"/>
    <s v="Y"/>
    <s v="D"/>
    <x v="74"/>
    <s v="CAI MEP"/>
    <x v="12"/>
    <s v="CAI MEP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79"/>
    <n v="921.18"/>
    <n v="908.26"/>
    <n v="1085.07"/>
    <n v="0"/>
    <n v="0"/>
    <n v="592.79"/>
    <n v="921.18"/>
    <n v="908.26"/>
    <n v="1085.07"/>
    <n v="0"/>
    <n v="0"/>
    <s v="VNCMP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S2"/>
    <s v="AX1"/>
    <m/>
    <s v="T"/>
    <s v="S"/>
    <s v="52D10H"/>
    <n v="1188"/>
    <s v="2018-09-29"/>
    <s v="Historical averaged cost."/>
    <n v="46.59"/>
    <n v="68.885000000000005"/>
    <n v="68.885000000000005"/>
    <n v="75.88500000000000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4233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PN2)-CNYTN-(AX1)"/>
    <s v="52D14H"/>
    <n v="2"/>
    <s v="DR"/>
    <s v="D"/>
    <s v="Y"/>
    <s v="D"/>
    <x v="74"/>
    <s v="CAI MEP"/>
    <x v="12"/>
    <s v="CAI MEP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0.02"/>
    <n v="825.59"/>
    <n v="812.78"/>
    <n v="978.85"/>
    <n v="0"/>
    <n v="0"/>
    <n v="530.02"/>
    <n v="825.59"/>
    <n v="812.78"/>
    <n v="978.85"/>
    <n v="0"/>
    <n v="0"/>
    <s v="VNCMP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PN2"/>
    <s v="AX1"/>
    <m/>
    <s v="T"/>
    <s v="S"/>
    <s v="51D11H"/>
    <n v="1146"/>
    <s v="2018-09-29"/>
    <s v="Historical averaged cost."/>
    <n v="46.59"/>
    <n v="68.885000000000005"/>
    <n v="68.885000000000005"/>
    <n v="75.88500000000000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4233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EC1)-KRPUS-(AX1)"/>
    <s v="49D12H"/>
    <n v="3"/>
    <s v="DR"/>
    <s v="D"/>
    <s v="Y"/>
    <s v="Y"/>
    <x v="2"/>
    <s v="CHONGQING, CHONGQI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11.23"/>
    <n v="2124.7199999999998"/>
    <n v="2148.02"/>
    <n v="4909.46"/>
    <n v="0"/>
    <n v="0"/>
    <n v="1111.23"/>
    <n v="2124.7199999999998"/>
    <n v="2148.02"/>
    <n v="4909.4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EC1"/>
    <s v="AX1"/>
    <s v="R"/>
    <s v="B"/>
    <s v="T"/>
    <s v="47D0H"/>
    <n v="922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9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56D12H"/>
    <n v="1"/>
    <s v="DR"/>
    <s v="D"/>
    <s v="Y"/>
    <s v="Y"/>
    <x v="2"/>
    <s v="CHONGQING, CHONGQING"/>
    <x v="3"/>
    <s v="SHANGHAI, SHANGHA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6.86"/>
    <n v="1890.33"/>
    <n v="1912.86"/>
    <n v="4791.3500000000004"/>
    <n v="0"/>
    <n v="0"/>
    <n v="796.86"/>
    <n v="1890.33"/>
    <n v="1912.86"/>
    <n v="4791.350000000000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S"/>
    <s v="54D1H"/>
    <n v="923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59D12H"/>
    <n v="3"/>
    <s v="DR"/>
    <s v="D"/>
    <s v="Y"/>
    <s v="Y"/>
    <x v="2"/>
    <s v="CHONGQING, CHONGQI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25.23"/>
    <n v="2145.52"/>
    <n v="2167.7199999999998"/>
    <n v="4941.76"/>
    <n v="0"/>
    <n v="0"/>
    <n v="1125.23"/>
    <n v="2145.52"/>
    <n v="2167.7199999999998"/>
    <n v="4941.7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3"/>
    <s v="AX1"/>
    <s v="R"/>
    <s v="B"/>
    <s v="T"/>
    <s v="57D0H"/>
    <n v="1149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8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8D12H"/>
    <n v="1"/>
    <s v="DR"/>
    <s v="D"/>
    <s v="Y"/>
    <s v="Y"/>
    <x v="2"/>
    <s v="CHONGQING, CHONGQI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06.16"/>
    <n v="1975.64"/>
    <n v="1999.05"/>
    <n v="4759.2299999999996"/>
    <n v="0"/>
    <n v="0"/>
    <n v="1006.16"/>
    <n v="1975.64"/>
    <n v="1999.05"/>
    <n v="4759.229999999999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R"/>
    <s v="B"/>
    <s v="S"/>
    <s v="46D0H"/>
    <n v="876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50D13H"/>
    <n v="3"/>
    <s v="DR"/>
    <s v="D"/>
    <s v="Y"/>
    <s v="Y"/>
    <x v="2"/>
    <s v="CHONGQING, CHONGQI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48.43"/>
    <n v="2032"/>
    <n v="2055.1999999999998"/>
    <n v="4881.3999999999996"/>
    <n v="0"/>
    <n v="0"/>
    <n v="1048.43"/>
    <n v="2032"/>
    <n v="2055.1999999999998"/>
    <n v="4881.399999999999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3"/>
    <s v="AX1"/>
    <s v="R"/>
    <m/>
    <s v="T"/>
    <s v="48D19H"/>
    <n v="1006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42D13H"/>
    <n v="3"/>
    <s v="DR"/>
    <s v="D"/>
    <s v="Y"/>
    <s v="Y"/>
    <x v="2"/>
    <s v="CHONGQING, CHONGQI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87.9100000000001"/>
    <n v="2085.4499999999998"/>
    <n v="2109.52"/>
    <n v="4927.95"/>
    <n v="0"/>
    <n v="0"/>
    <n v="1087.9100000000001"/>
    <n v="2085.4499999999998"/>
    <n v="2109.52"/>
    <n v="4927.95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2"/>
    <s v="AX1"/>
    <s v="R"/>
    <m/>
    <s v="T"/>
    <s v="40D19H"/>
    <n v="828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9D13H"/>
    <n v="1"/>
    <s v="DR"/>
    <s v="D"/>
    <s v="Y"/>
    <s v="Y"/>
    <x v="2"/>
    <s v="CHONGQING, CHONGQI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29.36"/>
    <n v="1862.12"/>
    <n v="1886.53"/>
    <n v="4698.87"/>
    <n v="0"/>
    <n v="0"/>
    <n v="929.36"/>
    <n v="1862.12"/>
    <n v="1886.53"/>
    <n v="4698.87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R"/>
    <m/>
    <s v="S"/>
    <s v="37D19H"/>
    <n v="733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EC1)-KRPUS-(AX1)"/>
    <s v="40D13H"/>
    <n v="3"/>
    <s v="DR"/>
    <s v="D"/>
    <s v="Y"/>
    <s v="Y"/>
    <x v="2"/>
    <s v="CHONGQING, CHONGQI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34.43"/>
    <n v="2011.2"/>
    <n v="2035.5"/>
    <n v="4849.1000000000004"/>
    <n v="0"/>
    <n v="0"/>
    <n v="1034.43"/>
    <n v="2011.2"/>
    <n v="2035.5"/>
    <n v="4849.100000000000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EC1"/>
    <s v="AX1"/>
    <s v="R"/>
    <m/>
    <s v="T"/>
    <s v="38D19H"/>
    <n v="779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46D13H"/>
    <n v="3"/>
    <s v="DR"/>
    <s v="D"/>
    <s v="Y"/>
    <s v="Y"/>
    <x v="2"/>
    <s v="CHONGQING, CHONGQI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042.83"/>
    <n v="2023.68"/>
    <n v="2047.32"/>
    <n v="4868.4799999999996"/>
    <n v="0"/>
    <n v="0"/>
    <n v="1042.83"/>
    <n v="2023.68"/>
    <n v="2047.32"/>
    <n v="4868.479999999999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R"/>
    <m/>
    <s v="T"/>
    <s v="44D19H"/>
    <n v="901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55D12H"/>
    <n v="3"/>
    <s v="DR"/>
    <s v="D"/>
    <s v="Y"/>
    <s v="Y"/>
    <x v="2"/>
    <s v="CHONGQING, CHONGQI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19.6300000000001"/>
    <n v="2137.1999999999998"/>
    <n v="2159.84"/>
    <n v="4928.84"/>
    <n v="0"/>
    <n v="0"/>
    <n v="1119.6300000000001"/>
    <n v="2137.1999999999998"/>
    <n v="2159.84"/>
    <n v="4928.84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R"/>
    <s v="B"/>
    <s v="T"/>
    <s v="53D0H"/>
    <n v="1044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0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7D13H"/>
    <n v="1"/>
    <s v="DR"/>
    <s v="D"/>
    <s v="Y"/>
    <s v="Y"/>
    <x v="2"/>
    <s v="CHONGQING, CHONGQING"/>
    <x v="3"/>
    <s v="SHANGHAI, SHANGHA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0.06"/>
    <n v="1776.81"/>
    <n v="1800.34"/>
    <n v="4730.9799999999996"/>
    <n v="0"/>
    <n v="0"/>
    <n v="720.06"/>
    <n v="1776.81"/>
    <n v="1800.34"/>
    <n v="4730.9799999999996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S"/>
    <s v="45D20H"/>
    <n v="780"/>
    <s v="2018-09-29"/>
    <s v="Historical averaged cost."/>
    <n v="99.140680000000003"/>
    <n v="148.71053000000001"/>
    <n v="148.71053000000001"/>
    <n v="181.43451999999999"/>
    <n v="0"/>
    <n v="0"/>
    <n v="392"/>
    <n v="740"/>
    <n v="740"/>
    <n v="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1D12H"/>
    <n v="3"/>
    <s v="DR"/>
    <s v="D"/>
    <s v="Y"/>
    <s v="Y"/>
    <x v="2"/>
    <s v="CHONGQING, CHONGQI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1164.7"/>
    <n v="2198.9699999999998"/>
    <n v="2222.0500000000002"/>
    <n v="4988.32"/>
    <n v="0"/>
    <n v="0"/>
    <n v="1164.7"/>
    <n v="2198.9699999999998"/>
    <n v="2222.0500000000002"/>
    <n v="4988.32"/>
    <n v="0"/>
    <n v="0"/>
    <s v="CNCKG"/>
    <n v="-47.633247351000001"/>
    <n v="456.96974003700001"/>
    <n v="476.20354304799997"/>
    <n v="4019.8420618730001"/>
    <n v="0"/>
    <n v="0"/>
    <n v="-47.633247351000001"/>
    <n v="456.96974003700001"/>
    <n v="476.20354304799997"/>
    <n v="4019.842061873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2"/>
    <s v="AX1"/>
    <s v="R"/>
    <s v="B"/>
    <s v="T"/>
    <s v="49D0H"/>
    <n v="971"/>
    <s v="2018-09-29"/>
    <s v="Historical averaged cost."/>
    <n v="78.872309999999999"/>
    <n v="120.14984"/>
    <n v="120.14984"/>
    <n v="175.16041000000001"/>
    <n v="0"/>
    <n v="0"/>
    <n v="632.76787000000002"/>
    <n v="870.51302999999996"/>
    <n v="870.51302999999996"/>
    <n v="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s v="Y"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41730010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50D16H"/>
    <n v="1"/>
    <s v="DR"/>
    <s v="D"/>
    <s v="Y"/>
    <s v="Y"/>
    <x v="6"/>
    <s v="GAOLAN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7.02"/>
    <n v="802.27"/>
    <n v="944.51"/>
    <n v="1076.5"/>
    <n v="0"/>
    <n v="0"/>
    <n v="517.02"/>
    <n v="802.27"/>
    <n v="944.51"/>
    <n v="1076.5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8D4H"/>
    <n v="1007"/>
    <s v="2018-09-29"/>
    <s v="Historical averaged cost."/>
    <n v="152.66703000000001"/>
    <n v="230.55654000000001"/>
    <n v="230.55654000000001"/>
    <n v="270.17982999999998"/>
    <n v="0"/>
    <n v="0"/>
    <n v="104.47297"/>
    <n v="155.43539000000001"/>
    <n v="155.43539000000001"/>
    <n v="166.90194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7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50D20H"/>
    <n v="1"/>
    <s v="DR"/>
    <s v="D"/>
    <s v="Y"/>
    <s v="Y"/>
    <x v="6"/>
    <s v="GAOLAN, GUANGDONG"/>
    <x v="8"/>
    <s v="YANTIAN, GUANG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2.76"/>
    <n v="788.1"/>
    <n v="930.34"/>
    <n v="1056.67"/>
    <n v="0"/>
    <n v="0"/>
    <n v="512.76"/>
    <n v="788.1"/>
    <n v="930.34"/>
    <n v="1056.67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8D9H"/>
    <n v="996"/>
    <s v="2018-09-29"/>
    <s v="Historical averaged cost."/>
    <n v="88.532589999999999"/>
    <n v="132.29938999999999"/>
    <n v="132.29938999999999"/>
    <n v="162.43816000000001"/>
    <n v="0"/>
    <n v="0"/>
    <n v="164.35382000000001"/>
    <n v="239.52339000000001"/>
    <n v="239.52339000000001"/>
    <n v="254.81211999999999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70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1D21H"/>
    <n v="1"/>
    <s v="DR"/>
    <s v="D"/>
    <s v="Y"/>
    <s v="Y"/>
    <x v="6"/>
    <s v="GAOLAN, GUANGDONG"/>
    <x v="8"/>
    <s v="YANTIAN, GUANG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5.97"/>
    <n v="674.59"/>
    <n v="817.81"/>
    <n v="996.3"/>
    <n v="0"/>
    <n v="0"/>
    <n v="435.97"/>
    <n v="674.59"/>
    <n v="817.81"/>
    <n v="996.3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40D4H"/>
    <n v="853"/>
    <s v="2018-09-29"/>
    <s v="Historical averaged cost."/>
    <n v="88.532589999999999"/>
    <n v="132.29938999999999"/>
    <n v="132.29938999999999"/>
    <n v="162.43816000000001"/>
    <n v="0"/>
    <n v="0"/>
    <n v="164.35382000000001"/>
    <n v="239.52339000000001"/>
    <n v="239.52339000000001"/>
    <n v="254.81211999999999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7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1D17H"/>
    <n v="1"/>
    <s v="DR"/>
    <s v="D"/>
    <s v="Y"/>
    <s v="Y"/>
    <x v="6"/>
    <s v="GAOLAN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0.22"/>
    <n v="688.76"/>
    <n v="831.98"/>
    <n v="1016.14"/>
    <n v="0"/>
    <n v="0"/>
    <n v="440.22"/>
    <n v="688.76"/>
    <n v="831.98"/>
    <n v="1016.14"/>
    <n v="0"/>
    <n v="0"/>
    <s v="CNGON"/>
    <n v="-85.075805525999996"/>
    <n v="-115.88718158"/>
    <n v="22.390490285999999"/>
    <n v="69.731379277000002"/>
    <n v="0"/>
    <n v="0"/>
    <n v="-85.075805525999996"/>
    <n v="-115.88718158"/>
    <n v="22.390490285999999"/>
    <n v="69.7313792770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9D23H"/>
    <n v="864"/>
    <s v="2018-09-29"/>
    <s v="Historical averaged cost."/>
    <n v="152.66703000000001"/>
    <n v="230.55654000000001"/>
    <n v="230.55654000000001"/>
    <n v="270.17982999999998"/>
    <n v="0"/>
    <n v="0"/>
    <n v="104.47297"/>
    <n v="155.43539000000001"/>
    <n v="155.43539000000001"/>
    <n v="166.90194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670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PN2)-CNYTN-(AX1)"/>
    <s v="46D23H"/>
    <n v="2"/>
    <s v="DR"/>
    <s v="D"/>
    <s v="Y"/>
    <s v="Y"/>
    <x v="8"/>
    <s v="HO CHI MINH"/>
    <x v="12"/>
    <s v="CAI MEP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8.87"/>
    <n v="853.16"/>
    <n v="841.01"/>
    <n v="1010.95"/>
    <n v="0"/>
    <n v="0"/>
    <n v="538.87"/>
    <n v="853.16"/>
    <n v="841.01"/>
    <n v="1010.95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PN2"/>
    <s v="AX1"/>
    <s v="F"/>
    <m/>
    <s v="S"/>
    <s v="45D6H"/>
    <n v="974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3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JS2)-HKHKG-(AX1)"/>
    <s v="54D22H"/>
    <n v="1"/>
    <s v="DR"/>
    <s v="D"/>
    <s v="Y"/>
    <s v="Y"/>
    <x v="8"/>
    <s v="HO CHI MINH"/>
    <x v="12"/>
    <s v="CAI MEP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1.44000000000005"/>
    <n v="963.31"/>
    <n v="950.28"/>
    <n v="1139.78"/>
    <n v="0"/>
    <n v="0"/>
    <n v="611.44000000000005"/>
    <n v="963.31"/>
    <n v="950.28"/>
    <n v="1139.78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S2"/>
    <s v="AX1"/>
    <s v="F"/>
    <m/>
    <s v="S"/>
    <s v="53D4H"/>
    <n v="1188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1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JS2)-HKHKG-(AX1)"/>
    <s v="63D21H"/>
    <n v="2"/>
    <s v="DR"/>
    <s v="D"/>
    <s v="Y"/>
    <s v="Y"/>
    <x v="8"/>
    <s v="HO CHI MINH"/>
    <x v="12"/>
    <s v="CAI MEP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8.64"/>
    <n v="943.7"/>
    <n v="936.72"/>
    <n v="993.43"/>
    <n v="0"/>
    <n v="0"/>
    <n v="598.64"/>
    <n v="943.7"/>
    <n v="936.72"/>
    <n v="993.43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S2"/>
    <s v="AX1"/>
    <s v="B"/>
    <s v="B"/>
    <s v="S"/>
    <s v="61D9H"/>
    <n v="1331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5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JT1)-KRPUS-(AX1)"/>
    <s v="48D14H"/>
    <n v="1"/>
    <s v="DR"/>
    <s v="D"/>
    <s v="Y"/>
    <s v="Y"/>
    <x v="8"/>
    <s v="HO CHI MINH"/>
    <x v="12"/>
    <s v="CAI MEP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2.66999999999996"/>
    <n v="881.39"/>
    <n v="869.02"/>
    <n v="1012.41"/>
    <n v="0"/>
    <n v="0"/>
    <n v="562.66999999999996"/>
    <n v="881.39"/>
    <n v="869.02"/>
    <n v="1012.41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T1"/>
    <s v="AX1"/>
    <s v="F"/>
    <m/>
    <s v="S"/>
    <s v="46D20H"/>
    <n v="960"/>
    <s v="2018-09-29"/>
    <s v="Historical averaged cost."/>
    <n v="37.5"/>
    <n v="55.5"/>
    <n v="55.5"/>
    <n v="60.5"/>
    <n v="0"/>
    <n v="0"/>
    <n v="29"/>
    <n v="58"/>
    <n v="58"/>
    <n v="72.5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2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JT1)-KRPUS-(AX1)"/>
    <s v="57D13H"/>
    <n v="1"/>
    <s v="DR"/>
    <s v="D"/>
    <s v="Y"/>
    <s v="Y"/>
    <x v="8"/>
    <s v="HO CHI MINH"/>
    <x v="12"/>
    <s v="CAI MEP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9.47"/>
    <n v="994.91"/>
    <n v="981.55"/>
    <n v="1072.78"/>
    <n v="0"/>
    <n v="0"/>
    <n v="639.47"/>
    <n v="994.91"/>
    <n v="981.55"/>
    <n v="1072.78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T1"/>
    <s v="AX1"/>
    <s v="B"/>
    <s v="B"/>
    <s v="S"/>
    <s v="55D1H"/>
    <n v="1103"/>
    <s v="2018-09-29"/>
    <s v="Historical averaged cost."/>
    <n v="37.5"/>
    <n v="55.5"/>
    <n v="55.5"/>
    <n v="60.5"/>
    <n v="0"/>
    <n v="0"/>
    <n v="29"/>
    <n v="58"/>
    <n v="58"/>
    <n v="72.5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4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JV2)-JPOSA-(AUJ)-KRPUS-(AX1)"/>
    <s v="56D3H"/>
    <n v="1"/>
    <s v="DR"/>
    <s v="D"/>
    <s v="Y"/>
    <s v="Y"/>
    <x v="8"/>
    <s v="HO CHI MINH"/>
    <x v="25"/>
    <s v="HO CHI MINH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78.45"/>
    <n v="1482.98"/>
    <n v="1469.84"/>
    <n v="1382.12"/>
    <n v="0"/>
    <n v="0"/>
    <n v="978.45"/>
    <n v="1482.98"/>
    <n v="1469.84"/>
    <n v="1382.12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V2"/>
    <s v="AX1"/>
    <m/>
    <s v="B"/>
    <s v="S"/>
    <s v="53D21H"/>
    <n v="1190"/>
    <s v="2018-09-29"/>
    <s v="Historical averaged cost."/>
    <n v="41"/>
    <n v="62"/>
    <n v="62"/>
    <n v="75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70.94869899999998"/>
    <n v="690.73221226999999"/>
    <n v="690.73221226999999"/>
    <n v="520.80384228000003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9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JV2)-JPOSA-(AUJ)-KRPUS-(AX1)"/>
    <s v="47D4H"/>
    <n v="1"/>
    <s v="DR"/>
    <s v="D"/>
    <s v="Y"/>
    <s v="Y"/>
    <x v="8"/>
    <s v="HO CHI MINH"/>
    <x v="25"/>
    <s v="HO CHI MINH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1.65"/>
    <n v="1369.46"/>
    <n v="1357.31"/>
    <n v="1321.75"/>
    <n v="0"/>
    <n v="0"/>
    <n v="901.65"/>
    <n v="1369.46"/>
    <n v="1357.31"/>
    <n v="1321.75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JV2"/>
    <s v="AX1"/>
    <m/>
    <m/>
    <s v="S"/>
    <s v="45D16H"/>
    <n v="1047"/>
    <s v="2018-09-29"/>
    <s v="Historical averaged cost."/>
    <n v="41"/>
    <n v="62"/>
    <n v="62"/>
    <n v="7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470.94869899999998"/>
    <n v="690.73221226999999"/>
    <n v="690.73221226999999"/>
    <n v="520.80384228000003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8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PN2)-CNYTN-(AX1)"/>
    <s v="55D22H"/>
    <n v="2"/>
    <s v="DR"/>
    <s v="D"/>
    <s v="Y"/>
    <s v="Y"/>
    <x v="8"/>
    <s v="HO CHI MINH"/>
    <x v="12"/>
    <s v="CAI MEP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5.66999999999996"/>
    <n v="966.68"/>
    <n v="953.54"/>
    <n v="1071.31"/>
    <n v="0"/>
    <n v="0"/>
    <n v="615.66999999999996"/>
    <n v="966.68"/>
    <n v="953.54"/>
    <n v="1071.31"/>
    <n v="0"/>
    <n v="0"/>
    <s v="VNSGN"/>
    <n v="114.550550871"/>
    <n v="187.68046383000001"/>
    <n v="171.13084171899999"/>
    <n v="200.47796803099999"/>
    <n v="0"/>
    <n v="0"/>
    <n v="114.550550871"/>
    <n v="187.68046383000001"/>
    <n v="171.13084171899999"/>
    <n v="200.477968030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6.47"/>
    <n v="653.26"/>
    <n v="653.26"/>
    <n v="0"/>
    <n v="0"/>
    <n v="0"/>
    <m/>
    <m/>
    <m/>
    <m/>
    <m/>
    <m/>
    <m/>
    <m/>
    <m/>
    <m/>
    <m/>
    <m/>
    <s v="PN2"/>
    <s v="AX1"/>
    <s v="B"/>
    <s v="B"/>
    <s v="S"/>
    <s v="53D11H"/>
    <n v="1117"/>
    <s v="2018-09-29"/>
    <s v="Historical averaged cost."/>
    <n v="37.97"/>
    <n v="56.204999999999998"/>
    <n v="56.204999999999998"/>
    <n v="61.204999999999998"/>
    <n v="0"/>
    <n v="0"/>
    <n v="26.87"/>
    <n v="53.73"/>
    <n v="53.73"/>
    <n v="67.16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36030006"/>
    <s v="OPUS"/>
    <n v="122"/>
    <n v="244"/>
    <n v="244"/>
    <x v="0"/>
    <x v="0"/>
    <x v="0"/>
    <n v="60"/>
    <n v="120"/>
    <n v="120"/>
    <x v="0"/>
    <x v="0"/>
    <x v="0"/>
    <x v="3"/>
    <x v="3"/>
    <x v="3"/>
    <m/>
    <m/>
    <m/>
    <m/>
    <m/>
    <m/>
    <x v="4"/>
    <x v="4"/>
    <n v="6.4500000009675"/>
    <x v="3"/>
    <x v="5"/>
    <x v="5"/>
    <x v="5"/>
    <x v="5"/>
    <x v="5"/>
    <x v="1"/>
    <x v="1"/>
    <x v="1"/>
    <m/>
    <m/>
    <m/>
    <m/>
    <m/>
    <m/>
  </r>
  <r>
    <s v="LW"/>
    <s v="LWE"/>
    <s v="LWT"/>
    <s v="LW"/>
    <s v="AX1"/>
    <s v="E"/>
    <s v="(AX1)"/>
    <s v="48D14H"/>
    <n v="1"/>
    <s v="DR"/>
    <s v="D"/>
    <s v="Y"/>
    <s v="Y"/>
    <x v="9"/>
    <s v="HONG K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90.95"/>
    <n v="891.33"/>
    <n v="865.63"/>
    <n v="1051.18"/>
    <n v="0"/>
    <n v="0"/>
    <n v="490.95"/>
    <n v="891.33"/>
    <n v="865.63"/>
    <n v="1051.18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630.46"/>
    <n v="918.55"/>
    <n v="918.55"/>
    <n v="0"/>
    <n v="0"/>
    <n v="0"/>
    <m/>
    <m/>
    <m/>
    <m/>
    <m/>
    <m/>
    <m/>
    <m/>
    <m/>
    <m/>
    <m/>
    <m/>
    <s v="AX1"/>
    <s v="AX1"/>
    <m/>
    <s v="B"/>
    <s v="S"/>
    <s v="46D8H"/>
    <n v="1006"/>
    <s v="2018-09-29"/>
    <s v="Historical averaged cost."/>
    <n v="138.12539000000001"/>
    <n v="209.29078999999999"/>
    <n v="209.29078999999999"/>
    <n v="243.81783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2480008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3"/>
    <x v="5"/>
    <x v="5"/>
    <x v="6"/>
    <x v="6"/>
    <x v="6"/>
    <x v="0"/>
    <x v="0"/>
    <x v="0"/>
    <m/>
    <m/>
    <m/>
    <m/>
    <m/>
    <m/>
  </r>
  <r>
    <s v="LW"/>
    <s v="LWE"/>
    <s v="LWT"/>
    <s v="LW"/>
    <s v="AX1"/>
    <s v="E"/>
    <s v="(AX1)"/>
    <s v="39D15H"/>
    <n v="1"/>
    <s v="DR"/>
    <s v="D"/>
    <s v="Y"/>
    <s v="Y"/>
    <x v="9"/>
    <s v="HONG K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14.15"/>
    <n v="777.81"/>
    <n v="753.1"/>
    <n v="990.82"/>
    <n v="0"/>
    <n v="0"/>
    <n v="414.15"/>
    <n v="777.81"/>
    <n v="753.1"/>
    <n v="990.82"/>
    <n v="0"/>
    <n v="0"/>
    <s v="HKHKG"/>
    <n v="10.667671017"/>
    <n v="154.03"/>
    <n v="124.15"/>
    <n v="244.134231927"/>
    <n v="0"/>
    <n v="0"/>
    <n v="10.667671017"/>
    <n v="154.03"/>
    <n v="124.15"/>
    <n v="244.134231927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630.46"/>
    <n v="918.55"/>
    <n v="918.55"/>
    <n v="0"/>
    <n v="0"/>
    <n v="0"/>
    <m/>
    <m/>
    <m/>
    <m/>
    <m/>
    <m/>
    <m/>
    <m/>
    <m/>
    <m/>
    <m/>
    <m/>
    <s v="AX1"/>
    <s v="AX1"/>
    <m/>
    <m/>
    <s v="S"/>
    <s v="38D3H"/>
    <n v="863"/>
    <s v="2018-09-29"/>
    <m/>
    <n v="138.12539000000001"/>
    <n v="209.29078999999999"/>
    <n v="209.29078999999999"/>
    <n v="243.81783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22480007"/>
    <s v="OPUS"/>
    <n v="122"/>
    <n v="244"/>
    <n v="244"/>
    <x v="0"/>
    <x v="0"/>
    <x v="0"/>
    <n v="60"/>
    <n v="120"/>
    <n v="120"/>
    <x v="0"/>
    <x v="0"/>
    <x v="0"/>
    <x v="4"/>
    <x v="4"/>
    <x v="4"/>
    <m/>
    <m/>
    <m/>
    <m/>
    <m/>
    <m/>
    <x v="5"/>
    <x v="5"/>
    <n v="8.2813941281093442"/>
    <x v="3"/>
    <x v="5"/>
    <x v="5"/>
    <x v="6"/>
    <x v="6"/>
    <x v="6"/>
    <x v="0"/>
    <x v="0"/>
    <x v="0"/>
    <m/>
    <m/>
    <m/>
    <m/>
    <m/>
    <m/>
  </r>
  <r>
    <s v="LW"/>
    <s v="LWE"/>
    <s v="LWT"/>
    <s v="LW"/>
    <s v="AX1"/>
    <s v="E"/>
    <s v="(AX1)"/>
    <s v="49D0H"/>
    <n v="1"/>
    <s v="DR"/>
    <s v="D"/>
    <s v="Y"/>
    <s v="Y"/>
    <x v="10"/>
    <s v="HUANGPU, GUANGDONG"/>
    <x v="8"/>
    <s v="YANTIAN, GUANG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5.57000000000005"/>
    <n v="794.52"/>
    <n v="916.46"/>
    <n v="1290.24"/>
    <n v="0"/>
    <n v="0"/>
    <n v="595.57000000000005"/>
    <n v="794.52"/>
    <n v="916.46"/>
    <n v="1290.24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6D13H"/>
    <n v="996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30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0D21H"/>
    <n v="1"/>
    <s v="DR"/>
    <s v="D"/>
    <s v="Y"/>
    <s v="Y"/>
    <x v="10"/>
    <s v="HUANGPU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3.54"/>
    <n v="719.55"/>
    <n v="842.37"/>
    <n v="1274.5999999999999"/>
    <n v="0"/>
    <n v="0"/>
    <n v="543.54"/>
    <n v="719.55"/>
    <n v="842.37"/>
    <n v="1274.5999999999999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9D3H"/>
    <n v="864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30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0D1H"/>
    <n v="1"/>
    <s v="DR"/>
    <s v="D"/>
    <s v="Y"/>
    <s v="Y"/>
    <x v="10"/>
    <s v="HUANGPU, GUANGDONG"/>
    <x v="8"/>
    <s v="YANTIAN, GUANG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8.77"/>
    <n v="681"/>
    <n v="803.94"/>
    <n v="1229.8800000000001"/>
    <n v="0"/>
    <n v="0"/>
    <n v="518.77"/>
    <n v="681"/>
    <n v="803.94"/>
    <n v="1229.8800000000001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8D8H"/>
    <n v="853"/>
    <s v="2018-09-29"/>
    <s v="Historical averaged cost."/>
    <n v="88.532589999999999"/>
    <n v="132.29938999999999"/>
    <n v="132.29938999999999"/>
    <n v="162.43816000000001"/>
    <n v="0"/>
    <n v="0"/>
    <n v="66.251149999999996"/>
    <n v="113.39139"/>
    <n v="113.39139"/>
    <n v="131.22824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30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9D20H"/>
    <n v="1"/>
    <s v="DR"/>
    <s v="D"/>
    <s v="Y"/>
    <s v="Y"/>
    <x v="10"/>
    <s v="HUANGPU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0.33000000000004"/>
    <n v="833.07"/>
    <n v="954.9"/>
    <n v="1334.96"/>
    <n v="0"/>
    <n v="0"/>
    <n v="620.33000000000004"/>
    <n v="833.07"/>
    <n v="954.9"/>
    <n v="1334.96"/>
    <n v="0"/>
    <n v="0"/>
    <s v="CNHUA"/>
    <n v="98.633355304999995"/>
    <n v="20.822714269999999"/>
    <n v="138.58598247"/>
    <n v="433.34873496199998"/>
    <n v="0"/>
    <n v="0"/>
    <n v="98.633355304999995"/>
    <n v="20.822714269999999"/>
    <n v="138.58598247"/>
    <n v="433.348734961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7D8H"/>
    <n v="1007"/>
    <s v="2018-09-29"/>
    <s v="Historical averaged cost."/>
    <n v="152.66703000000001"/>
    <n v="230.55654000000001"/>
    <n v="230.55654000000001"/>
    <n v="270.17982999999998"/>
    <n v="0"/>
    <n v="0"/>
    <n v="25.481210000000001"/>
    <n v="51.599449999999997"/>
    <n v="51.599449999999997"/>
    <n v="64.977090000000004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3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TI1)-SGSIN-(MD2)-KRPUS-(AX1)"/>
    <s v="52D16H"/>
    <n v="2"/>
    <s v="DR"/>
    <s v="D"/>
    <s v="Y"/>
    <s v="Y"/>
    <x v="11"/>
    <s v="JAKARTA"/>
    <x v="13"/>
    <s v="JAKART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2.30999999999995"/>
    <n v="1156.56"/>
    <n v="1084.23"/>
    <n v="1238.17"/>
    <n v="0"/>
    <n v="0"/>
    <n v="632.30999999999995"/>
    <n v="1156.56"/>
    <n v="1084.23"/>
    <n v="1238.17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TI1"/>
    <s v="AX1"/>
    <m/>
    <m/>
    <s v="S"/>
    <s v="51D4H"/>
    <n v="1212"/>
    <s v="2018-09-29"/>
    <m/>
    <n v="74.7"/>
    <n v="112.05"/>
    <n v="112.05"/>
    <n v="139.61000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370003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TI1)-SGSIN-(NX2)-KRPUS-(AX1)"/>
    <s v="46D13H"/>
    <n v="2"/>
    <s v="DR"/>
    <s v="D"/>
    <s v="Y"/>
    <s v="D"/>
    <x v="11"/>
    <s v="JAKARTA"/>
    <x v="13"/>
    <s v="JAKART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4.91"/>
    <n v="1145.08"/>
    <n v="1073.4100000000001"/>
    <n v="1219.79"/>
    <n v="0"/>
    <n v="0"/>
    <n v="624.91"/>
    <n v="1145.08"/>
    <n v="1073.4100000000001"/>
    <n v="1219.79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TI1"/>
    <s v="AX1"/>
    <m/>
    <s v="T"/>
    <s v="S"/>
    <s v="45D11H"/>
    <n v="1032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710002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IPS)-KRPUS-(AX1)"/>
    <s v="53D7H"/>
    <n v="1"/>
    <s v="DR"/>
    <s v="D"/>
    <s v="Y"/>
    <s v="Y"/>
    <x v="11"/>
    <s v="JAKARTA"/>
    <x v="13"/>
    <s v="JAKART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75"/>
    <n v="1227.04"/>
    <n v="1154.71"/>
    <n v="1254.48"/>
    <n v="0"/>
    <n v="0"/>
    <n v="644.75"/>
    <n v="1227.04"/>
    <n v="1154.71"/>
    <n v="1254.48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IPS"/>
    <s v="AX1"/>
    <m/>
    <s v="B"/>
    <s v="S"/>
    <s v="51D1H"/>
    <n v="1137"/>
    <s v="2018-09-29"/>
    <s v="Historical averaged cost."/>
    <n v="83"/>
    <n v="124.5"/>
    <n v="124.5"/>
    <n v="155.6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370004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IPS)-KRPUS-(AX1)"/>
    <s v="44D8H"/>
    <n v="1"/>
    <s v="DR"/>
    <s v="D"/>
    <s v="Y"/>
    <s v="Y"/>
    <x v="11"/>
    <s v="JAKARTA"/>
    <x v="13"/>
    <s v="JAKART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7.95000000000005"/>
    <n v="1113.53"/>
    <n v="1042.19"/>
    <n v="1194.1099999999999"/>
    <n v="0"/>
    <n v="0"/>
    <n v="567.95000000000005"/>
    <n v="1113.53"/>
    <n v="1042.19"/>
    <n v="1194.1099999999999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IPS"/>
    <s v="AX1"/>
    <m/>
    <m/>
    <s v="S"/>
    <s v="42D20H"/>
    <n v="994"/>
    <s v="2018-09-29"/>
    <m/>
    <n v="83"/>
    <n v="124.5"/>
    <n v="124.5"/>
    <n v="155.6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370001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TI1)-SGSIN-(MD2)-KRPUS-(AX1)"/>
    <s v="53D13H"/>
    <n v="2"/>
    <s v="DR"/>
    <s v="D"/>
    <s v="Y"/>
    <s v="D"/>
    <x v="11"/>
    <s v="JAKARTA"/>
    <x v="13"/>
    <s v="JAKART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4.71"/>
    <n v="1159.6400000000001"/>
    <n v="1087.2"/>
    <n v="1242.4000000000001"/>
    <n v="0"/>
    <n v="0"/>
    <n v="634.71"/>
    <n v="1159.6400000000001"/>
    <n v="1087.2"/>
    <n v="1242.4000000000001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TI1"/>
    <s v="AX1"/>
    <m/>
    <s v="T"/>
    <s v="S"/>
    <s v="52D11H"/>
    <n v="1200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710003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JID)-SGSIN-(MD2)-KRPUS-(AX1)"/>
    <s v="60D5H"/>
    <n v="2"/>
    <s v="DR"/>
    <s v="D"/>
    <s v="Y"/>
    <s v="Y"/>
    <x v="11"/>
    <s v="JAKARTA"/>
    <x v="13"/>
    <s v="JAKART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2.01"/>
    <n v="1155.6600000000001"/>
    <n v="1089.1600000000001"/>
    <n v="1116.3900000000001"/>
    <n v="0"/>
    <n v="0"/>
    <n v="632.01"/>
    <n v="1155.6600000000001"/>
    <n v="1089.1600000000001"/>
    <n v="1116.3900000000001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JID"/>
    <s v="AX1"/>
    <m/>
    <s v="B"/>
    <s v="S"/>
    <s v="57D23H"/>
    <n v="1284"/>
    <s v="2018-09-29"/>
    <s v="Historical averaged cost."/>
    <n v="84.396000000000001"/>
    <n v="126.595"/>
    <n v="126.595"/>
    <n v="157.715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370006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IPS)-KRPUS-(AX1)"/>
    <s v="45D5H"/>
    <n v="1"/>
    <s v="DR"/>
    <s v="D"/>
    <s v="Y"/>
    <s v="D"/>
    <x v="11"/>
    <s v="JAKARTA"/>
    <x v="13"/>
    <s v="JAKART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0.35"/>
    <n v="1116.6099999999999"/>
    <n v="1045.1600000000001"/>
    <n v="1198.3399999999999"/>
    <n v="0"/>
    <n v="0"/>
    <n v="570.35"/>
    <n v="1116.6099999999999"/>
    <n v="1045.1600000000001"/>
    <n v="1198.3399999999999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IPS"/>
    <s v="AX1"/>
    <m/>
    <s v="T"/>
    <s v="S"/>
    <s v="44D2H"/>
    <n v="994"/>
    <s v="2018-09-29"/>
    <s v="Historical averaged cost."/>
    <n v="83"/>
    <n v="124.5"/>
    <n v="124.5"/>
    <n v="155.6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191.83605299999999"/>
    <n v="258.46517525000002"/>
    <n v="258.46517525000002"/>
    <n v="264.23183180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51710001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TI1)-SGSIN-(NX2)-KRPUS-(AX1)"/>
    <s v="45D16H"/>
    <n v="2"/>
    <s v="DR"/>
    <s v="D"/>
    <s v="Y"/>
    <s v="Y"/>
    <x v="11"/>
    <s v="JAKARTA"/>
    <x v="13"/>
    <s v="JAKART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51"/>
    <n v="1142"/>
    <n v="1070.44"/>
    <n v="1215.56"/>
    <n v="0"/>
    <n v="0"/>
    <n v="622.51"/>
    <n v="1142"/>
    <n v="1070.44"/>
    <n v="1215.56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TI1"/>
    <s v="AX1"/>
    <m/>
    <m/>
    <s v="S"/>
    <s v="44D4H"/>
    <n v="1044"/>
    <s v="2018-09-29"/>
    <m/>
    <n v="74.7"/>
    <n v="112.05"/>
    <n v="112.05"/>
    <n v="139.61000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370002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TI1)-SGSIN-(NX2)-KRPUS-(AX1)"/>
    <s v="54D15H"/>
    <n v="2"/>
    <s v="DR"/>
    <s v="D"/>
    <s v="Y"/>
    <s v="Y"/>
    <x v="11"/>
    <s v="JAKARTA"/>
    <x v="13"/>
    <s v="JAKART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9.31"/>
    <n v="1255.52"/>
    <n v="1182.97"/>
    <n v="1275.93"/>
    <n v="0"/>
    <n v="0"/>
    <n v="699.31"/>
    <n v="1255.52"/>
    <n v="1182.97"/>
    <n v="1275.93"/>
    <n v="0"/>
    <n v="0"/>
    <s v="IDJKT"/>
    <n v="22.160467614000002"/>
    <n v="307.75"/>
    <n v="231.68"/>
    <n v="258.48007710799999"/>
    <n v="0"/>
    <n v="0"/>
    <n v="22.160467614000002"/>
    <n v="307.75"/>
    <n v="231.68"/>
    <n v="258.480077107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90.8"/>
    <n v="637.79999999999995"/>
    <n v="637.79999999999995"/>
    <n v="0"/>
    <n v="0"/>
    <n v="0"/>
    <m/>
    <m/>
    <m/>
    <m/>
    <m/>
    <m/>
    <m/>
    <m/>
    <m/>
    <m/>
    <m/>
    <m/>
    <s v="TI1"/>
    <s v="AX1"/>
    <m/>
    <s v="B"/>
    <s v="S"/>
    <s v="52D9H"/>
    <n v="1187"/>
    <s v="2018-09-29"/>
    <s v="Historical averaged cost."/>
    <n v="74.7"/>
    <n v="112.05"/>
    <n v="112.05"/>
    <n v="139.61000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02370005"/>
    <s v="OPUS"/>
    <n v="122"/>
    <n v="244"/>
    <n v="244"/>
    <x v="0"/>
    <x v="0"/>
    <x v="0"/>
    <n v="60"/>
    <n v="120"/>
    <n v="120"/>
    <x v="0"/>
    <x v="0"/>
    <x v="0"/>
    <x v="5"/>
    <x v="5"/>
    <x v="5"/>
    <m/>
    <m/>
    <m/>
    <m/>
    <m/>
    <m/>
    <x v="6"/>
    <x v="6"/>
    <n v="6.8979999996744148"/>
    <x v="3"/>
    <x v="5"/>
    <x v="5"/>
    <x v="7"/>
    <x v="7"/>
    <x v="7"/>
    <x v="0"/>
    <x v="0"/>
    <x v="0"/>
    <m/>
    <m/>
    <m/>
    <m/>
    <m/>
    <m/>
  </r>
  <r>
    <s v="LW"/>
    <s v="LWE"/>
    <s v="LWT"/>
    <s v="LW"/>
    <s v="AX1"/>
    <s v="E"/>
    <s v="(KME)-KRPUS-(AX1)"/>
    <s v="61D4H"/>
    <n v="2"/>
    <s v="DR"/>
    <s v="D"/>
    <s v="Y"/>
    <s v="Y"/>
    <x v="71"/>
    <s v="JEBEL ALI"/>
    <x v="41"/>
    <s v="JEBEL AL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55.84"/>
    <n v="724.71"/>
    <n v="714.47"/>
    <n v="747.99"/>
    <n v="0"/>
    <n v="0"/>
    <n v="455.84"/>
    <n v="724.71"/>
    <n v="714.47"/>
    <n v="747.99"/>
    <n v="0"/>
    <n v="0"/>
    <s v="AEJEA"/>
    <n v="-29.726506405999999"/>
    <n v="-19.177665996999998"/>
    <n v="-38.986110023000002"/>
    <n v="-46.144688051999999"/>
    <n v="0"/>
    <n v="0"/>
    <n v="-29.726506405999999"/>
    <n v="-19.177665996999998"/>
    <n v="-38.986110023000002"/>
    <n v="-46.144688051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689.03"/>
    <n v="1000.38"/>
    <n v="1000.38"/>
    <n v="0"/>
    <n v="0"/>
    <n v="0"/>
    <m/>
    <m/>
    <m/>
    <m/>
    <m/>
    <m/>
    <m/>
    <m/>
    <m/>
    <m/>
    <m/>
    <m/>
    <s v="KME"/>
    <s v="AX1"/>
    <m/>
    <m/>
    <s v="S"/>
    <s v="59D16H"/>
    <n v="1380"/>
    <s v="2018-09-29"/>
    <m/>
    <n v="118.61371"/>
    <n v="188.36718999999999"/>
    <n v="188.36718999999999"/>
    <n v="188.36718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57.595384"/>
    <n v="224.2273983"/>
    <n v="224.2273983"/>
    <n v="232.10152995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610002"/>
    <s v="OPUS"/>
    <n v="122"/>
    <n v="244"/>
    <n v="244"/>
    <x v="0"/>
    <x v="0"/>
    <x v="0"/>
    <n v="60"/>
    <n v="120"/>
    <n v="120"/>
    <x v="0"/>
    <x v="0"/>
    <x v="0"/>
    <x v="13"/>
    <x v="13"/>
    <x v="13"/>
    <m/>
    <m/>
    <m/>
    <m/>
    <m/>
    <m/>
    <x v="15"/>
    <x v="15"/>
    <n v="4.0838996340825924"/>
    <x v="3"/>
    <x v="5"/>
    <x v="5"/>
    <x v="28"/>
    <x v="30"/>
    <x v="30"/>
    <x v="0"/>
    <x v="0"/>
    <x v="0"/>
    <m/>
    <m/>
    <m/>
    <m/>
    <m/>
    <m/>
  </r>
  <r>
    <s v="LW"/>
    <s v="LWE"/>
    <s v="LWT"/>
    <s v="LW"/>
    <s v="AX1"/>
    <s v="E"/>
    <s v="(AGX)-KRPUS-(AX1)"/>
    <s v="67D2H"/>
    <n v="1"/>
    <s v="DR"/>
    <s v="D"/>
    <s v="Y"/>
    <s v="Y"/>
    <x v="71"/>
    <s v="JEBEL ALI"/>
    <x v="41"/>
    <s v="JEBEL AL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5.74"/>
    <n v="741.69"/>
    <n v="731.46"/>
    <n v="693.6"/>
    <n v="0"/>
    <n v="0"/>
    <n v="465.74"/>
    <n v="741.69"/>
    <n v="731.46"/>
    <n v="693.6"/>
    <n v="0"/>
    <n v="0"/>
    <s v="AEJEA"/>
    <n v="-29.726506405999999"/>
    <n v="-19.177665996999998"/>
    <n v="-38.986110023000002"/>
    <n v="-46.144688051999999"/>
    <n v="0"/>
    <n v="0"/>
    <n v="-29.726506405999999"/>
    <n v="-19.177665996999998"/>
    <n v="-38.986110023000002"/>
    <n v="-46.144688051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689.03"/>
    <n v="1000.38"/>
    <n v="1000.38"/>
    <n v="0"/>
    <n v="0"/>
    <n v="0"/>
    <m/>
    <m/>
    <m/>
    <m/>
    <m/>
    <m/>
    <m/>
    <m/>
    <m/>
    <m/>
    <m/>
    <m/>
    <s v="AGX"/>
    <s v="AX1"/>
    <m/>
    <s v="B"/>
    <s v="S"/>
    <s v="64D20H"/>
    <n v="1465"/>
    <s v="2018-09-29"/>
    <s v="Historical averaged cost."/>
    <n v="118.25071"/>
    <n v="187.78419"/>
    <n v="187.78419"/>
    <n v="187.7841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610003"/>
    <s v="OPUS"/>
    <n v="122"/>
    <n v="244"/>
    <n v="244"/>
    <x v="0"/>
    <x v="0"/>
    <x v="0"/>
    <n v="60"/>
    <n v="120"/>
    <n v="120"/>
    <x v="0"/>
    <x v="0"/>
    <x v="0"/>
    <x v="13"/>
    <x v="13"/>
    <x v="13"/>
    <m/>
    <m/>
    <m/>
    <m/>
    <m/>
    <m/>
    <x v="15"/>
    <x v="15"/>
    <n v="4.0838996340825924"/>
    <x v="3"/>
    <x v="5"/>
    <x v="5"/>
    <x v="28"/>
    <x v="30"/>
    <x v="30"/>
    <x v="0"/>
    <x v="0"/>
    <x v="0"/>
    <m/>
    <m/>
    <m/>
    <m/>
    <m/>
    <m/>
  </r>
  <r>
    <s v="LW"/>
    <s v="LWE"/>
    <s v="LWT"/>
    <s v="LW"/>
    <s v="AX1"/>
    <s v="E"/>
    <s v="(AGX)-KRPUS-(AX1)"/>
    <s v="58D3H"/>
    <n v="1"/>
    <s v="DR"/>
    <s v="D"/>
    <s v="Y"/>
    <s v="Y"/>
    <x v="71"/>
    <s v="JEBEL ALI"/>
    <x v="41"/>
    <s v="JEBEL AL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2.75"/>
    <n v="767.54"/>
    <n v="750.92"/>
    <n v="849.64"/>
    <n v="0"/>
    <n v="0"/>
    <n v="482.75"/>
    <n v="767.54"/>
    <n v="750.92"/>
    <n v="849.64"/>
    <n v="0"/>
    <n v="0"/>
    <s v="AEJEA"/>
    <n v="-29.726506405999999"/>
    <n v="-19.177665996999998"/>
    <n v="-38.986110023000002"/>
    <n v="-46.144688051999999"/>
    <n v="0"/>
    <n v="0"/>
    <n v="-29.726506405999999"/>
    <n v="-19.177665996999998"/>
    <n v="-38.986110023000002"/>
    <n v="-46.144688051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689.03"/>
    <n v="1000.38"/>
    <n v="1000.38"/>
    <n v="0"/>
    <n v="0"/>
    <n v="0"/>
    <m/>
    <m/>
    <m/>
    <m/>
    <m/>
    <m/>
    <m/>
    <m/>
    <m/>
    <m/>
    <m/>
    <m/>
    <s v="AGX"/>
    <s v="AX1"/>
    <m/>
    <m/>
    <s v="S"/>
    <s v="56D15H"/>
    <n v="1322"/>
    <s v="2018-09-29"/>
    <m/>
    <n v="118.25071"/>
    <n v="187.78419"/>
    <n v="187.78419"/>
    <n v="187.7841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610001"/>
    <s v="OPUS"/>
    <n v="122"/>
    <n v="244"/>
    <n v="244"/>
    <x v="0"/>
    <x v="0"/>
    <x v="0"/>
    <n v="60"/>
    <n v="120"/>
    <n v="120"/>
    <x v="0"/>
    <x v="0"/>
    <x v="0"/>
    <x v="13"/>
    <x v="13"/>
    <x v="13"/>
    <m/>
    <m/>
    <m/>
    <m/>
    <m/>
    <m/>
    <x v="15"/>
    <x v="15"/>
    <n v="4.0838996340825924"/>
    <x v="3"/>
    <x v="5"/>
    <x v="5"/>
    <x v="28"/>
    <x v="30"/>
    <x v="30"/>
    <x v="0"/>
    <x v="0"/>
    <x v="0"/>
    <m/>
    <m/>
    <m/>
    <m/>
    <m/>
    <m/>
  </r>
  <r>
    <s v="LW"/>
    <s v="LWE"/>
    <s v="LWT"/>
    <s v="LW"/>
    <s v="AX1"/>
    <s v="E"/>
    <s v="(AX1)"/>
    <s v="41D21H"/>
    <n v="1"/>
    <s v="DR"/>
    <s v="D"/>
    <s v="Y"/>
    <s v="Y"/>
    <x v="37"/>
    <s v="JIANGMEN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6.82"/>
    <n v="1032.19"/>
    <n v="987.91"/>
    <n v="1160.03"/>
    <n v="0"/>
    <n v="0"/>
    <n v="656.82"/>
    <n v="1032.19"/>
    <n v="987.91"/>
    <n v="1160.03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40D3H"/>
    <n v="864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98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9D20H"/>
    <n v="1"/>
    <s v="DR"/>
    <s v="D"/>
    <s v="Y"/>
    <s v="Y"/>
    <x v="37"/>
    <s v="JIANGMEN, GUANGDONG"/>
    <x v="8"/>
    <s v="YANTIAN, GUANG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3.95"/>
    <n v="1123.73"/>
    <n v="1078.57"/>
    <n v="1202.43"/>
    <n v="0"/>
    <n v="0"/>
    <n v="713.95"/>
    <n v="1123.73"/>
    <n v="1078.57"/>
    <n v="1202.43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7D9H"/>
    <n v="996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98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50D20H"/>
    <n v="1"/>
    <s v="DR"/>
    <s v="D"/>
    <s v="Y"/>
    <s v="Y"/>
    <x v="37"/>
    <s v="JIANGMEN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3.62"/>
    <n v="1145.71"/>
    <n v="1100.44"/>
    <n v="1220.4000000000001"/>
    <n v="0"/>
    <n v="0"/>
    <n v="733.62"/>
    <n v="1145.71"/>
    <n v="1100.44"/>
    <n v="1220.4000000000001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8D8H"/>
    <n v="1007"/>
    <s v="2018-09-29"/>
    <s v="Historical averaged cost."/>
    <n v="152.66703000000001"/>
    <n v="230.55654000000001"/>
    <n v="230.55654000000001"/>
    <n v="270.17982999999998"/>
    <n v="0"/>
    <n v="0"/>
    <n v="43.318060000000003"/>
    <n v="74.532550000000001"/>
    <n v="74.532550000000001"/>
    <n v="82.813940000000002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98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0D21H"/>
    <n v="1"/>
    <s v="DR"/>
    <s v="D"/>
    <s v="Y"/>
    <s v="Y"/>
    <x v="37"/>
    <s v="JIANGMEN, GUANGDONG"/>
    <x v="8"/>
    <s v="YANTIAN, GUANG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7.15"/>
    <n v="1010.21"/>
    <n v="966.04"/>
    <n v="1142.07"/>
    <n v="0"/>
    <n v="0"/>
    <n v="637.15"/>
    <n v="1010.21"/>
    <n v="966.04"/>
    <n v="1142.07"/>
    <n v="0"/>
    <n v="0"/>
    <s v="CNJMN"/>
    <n v="192.677389823"/>
    <n v="308.45360205899999"/>
    <n v="259.22168889099999"/>
    <n v="297.71551758800001"/>
    <n v="0"/>
    <n v="0"/>
    <n v="192.677389823"/>
    <n v="308.45360205899999"/>
    <n v="259.22168889099999"/>
    <n v="297.71551758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9D4H"/>
    <n v="853"/>
    <s v="2018-09-29"/>
    <s v="Historical averaged cost."/>
    <n v="88.532589999999999"/>
    <n v="132.29938999999999"/>
    <n v="132.29938999999999"/>
    <n v="162.43816000000001"/>
    <n v="0"/>
    <n v="0"/>
    <n v="89.184240000000003"/>
    <n v="152.88727"/>
    <n v="152.88727"/>
    <n v="175.82035999999999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19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-KRPUS-(AX1)"/>
    <s v="65D2H"/>
    <n v="3"/>
    <s v="DR"/>
    <s v="D"/>
    <s v="Y"/>
    <s v="Y"/>
    <x v="12"/>
    <s v="KAOHSIUNG CITY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7.12"/>
    <n v="1123.33"/>
    <n v="1085.29"/>
    <n v="1068.3699999999999"/>
    <n v="0"/>
    <n v="0"/>
    <n v="837.12"/>
    <n v="1123.33"/>
    <n v="1085.29"/>
    <n v="1068.3699999999999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s v="B"/>
    <s v="T"/>
    <s v="62D14H"/>
    <n v="1261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977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56D3H"/>
    <n v="3"/>
    <s v="DR"/>
    <s v="D"/>
    <s v="Y"/>
    <s v="Y"/>
    <x v="12"/>
    <s v="KAOHSIUNG CITY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1.32"/>
    <n v="1145.02"/>
    <n v="1100.81"/>
    <n v="1217.95"/>
    <n v="0"/>
    <n v="0"/>
    <n v="851.32"/>
    <n v="1145.02"/>
    <n v="1100.81"/>
    <n v="1217.95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m/>
    <s v="T"/>
    <s v="54D9H"/>
    <n v="1118"/>
    <s v="2018-09-29"/>
    <m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977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49D3H"/>
    <n v="1"/>
    <s v="DR"/>
    <s v="D"/>
    <s v="Y"/>
    <s v="Y"/>
    <x v="12"/>
    <s v="KAOHSIUNG CITY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7.86"/>
    <n v="983.46"/>
    <n v="940.02"/>
    <n v="1048.3399999999999"/>
    <n v="0"/>
    <n v="0"/>
    <n v="737.86"/>
    <n v="983.46"/>
    <n v="940.02"/>
    <n v="1048.3399999999999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m/>
    <s v="S"/>
    <s v="47D9H"/>
    <n v="950"/>
    <s v="2018-09-29"/>
    <m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977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58D2H"/>
    <n v="2"/>
    <s v="DR"/>
    <s v="D"/>
    <s v="Y"/>
    <s v="Y"/>
    <x v="12"/>
    <s v="KAOHSIUNG CITY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4.66"/>
    <n v="1096.98"/>
    <n v="1052.55"/>
    <n v="1108.71"/>
    <n v="0"/>
    <n v="0"/>
    <n v="814.66"/>
    <n v="1096.98"/>
    <n v="1052.55"/>
    <n v="1108.71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s v="B"/>
    <s v="S"/>
    <s v="55D14H"/>
    <n v="1093"/>
    <s v="2018-09-29"/>
    <s v="Historical averaged cost."/>
    <n v="111.73651"/>
    <n v="146.01947999999999"/>
    <n v="146.01947999999999"/>
    <n v="146.01947999999999"/>
    <n v="0"/>
    <n v="0"/>
    <n v="280.40696000000003"/>
    <n v="280.40696000000003"/>
    <n v="280.40696000000003"/>
    <n v="280.40696000000003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977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62D6H"/>
    <n v="1"/>
    <s v="DR"/>
    <s v="D"/>
    <s v="Y"/>
    <s v="Y"/>
    <x v="12"/>
    <s v="KAOHSIUNG CITY"/>
    <x v="26"/>
    <s v="KAOHSIUNG CITY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3.78"/>
    <n v="774.17"/>
    <n v="736.12"/>
    <n v="719.2"/>
    <n v="0"/>
    <n v="0"/>
    <n v="513.78"/>
    <n v="774.17"/>
    <n v="736.12"/>
    <n v="719.2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m/>
    <s v="B"/>
    <s v="S"/>
    <s v="60D0H"/>
    <n v="1116"/>
    <s v="2018-09-29"/>
    <s v="Historical averaged cost."/>
    <n v="68.800370000000001"/>
    <n v="77.259739999999994"/>
    <n v="77.259739999999994"/>
    <n v="77.25973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977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53D7H"/>
    <n v="1"/>
    <s v="DR"/>
    <s v="D"/>
    <s v="Y"/>
    <s v="Y"/>
    <x v="12"/>
    <s v="KAOHSIUNG CITY"/>
    <x v="26"/>
    <s v="KAOHSIUNG CITY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3.78"/>
    <n v="789.61"/>
    <n v="745.73"/>
    <n v="859.1"/>
    <n v="0"/>
    <n v="0"/>
    <n v="523.78"/>
    <n v="789.61"/>
    <n v="745.73"/>
    <n v="859.1"/>
    <n v="0"/>
    <n v="0"/>
    <s v="TWKHH"/>
    <n v="67.758880349999998"/>
    <n v="123.821829679"/>
    <n v="76.201314605999997"/>
    <n v="89.983561753000004"/>
    <n v="0"/>
    <n v="0"/>
    <n v="67.758880349999998"/>
    <n v="123.821829679"/>
    <n v="76.201314605999997"/>
    <n v="89.983561753000004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m/>
    <m/>
    <s v="S"/>
    <s v="51D19H"/>
    <n v="973"/>
    <s v="2018-09-29"/>
    <m/>
    <n v="68.800370000000001"/>
    <n v="77.259739999999994"/>
    <n v="77.259739999999994"/>
    <n v="77.25973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9977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PM2)-SGSIN-(CSW)-KRPUS-(AX1)"/>
    <s v="65D4H"/>
    <n v="1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7.9"/>
    <n v="737.56"/>
    <n v="728.68"/>
    <n v="4842.05"/>
    <n v="0"/>
    <n v="0"/>
    <n v="677.9"/>
    <n v="737.56"/>
    <n v="728.68"/>
    <n v="4842.05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m/>
    <s v="S"/>
    <s v="63D16H"/>
    <n v="1460"/>
    <s v="2018-09-29"/>
    <m/>
    <n v="84.251999999999995"/>
    <n v="85.251999999999995"/>
    <n v="85.251999999999995"/>
    <n v="85.25199999999999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TIP)-SGSIN-(CMS)-HKHKG-(AX1)"/>
    <s v="75D4H"/>
    <n v="2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7.03"/>
    <n v="717.25"/>
    <n v="708.37"/>
    <n v="4859.05"/>
    <n v="0"/>
    <n v="0"/>
    <n v="647.03"/>
    <n v="717.25"/>
    <n v="708.37"/>
    <n v="4859.05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TIP"/>
    <s v="AX1"/>
    <m/>
    <m/>
    <s v="S"/>
    <s v="73D16H"/>
    <n v="1718"/>
    <s v="2018-09-29"/>
    <m/>
    <n v="62.029000000000003"/>
    <n v="62.029000000000003"/>
    <n v="62.029000000000003"/>
    <n v="62.029000000000003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93.92602489000001"/>
    <n v="368.23253976000001"/>
    <n v="368.23253976000001"/>
    <n v="407.8558244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9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TIP)-SGSIN-(AGX)-KRPUS-(AX1)"/>
    <s v="68D4H"/>
    <n v="2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5"/>
    <n v="644.25"/>
    <n v="635.37"/>
    <n v="4746.43"/>
    <n v="0"/>
    <n v="0"/>
    <n v="605"/>
    <n v="644.25"/>
    <n v="635.37"/>
    <n v="4746.43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TIP"/>
    <s v="AX1"/>
    <m/>
    <m/>
    <s v="S"/>
    <s v="66D16H"/>
    <n v="1550"/>
    <s v="2018-09-29"/>
    <m/>
    <n v="62.029000000000003"/>
    <n v="62.029000000000003"/>
    <n v="62.029000000000003"/>
    <n v="62.029000000000003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0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X)-MYPKG-(NX2)-KRPUS-(AX1)"/>
    <s v="68D3H"/>
    <n v="1"/>
    <s v="DR"/>
    <s v="D"/>
    <s v="Y"/>
    <s v="Y"/>
    <x v="64"/>
    <s v="KARACHI"/>
    <x v="38"/>
    <s v="KARACH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6.55999999999995"/>
    <n v="758.76"/>
    <n v="749.88"/>
    <n v="4776.37"/>
    <n v="0"/>
    <n v="0"/>
    <n v="626.55999999999995"/>
    <n v="758.76"/>
    <n v="749.88"/>
    <n v="4776.37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X"/>
    <s v="AX1"/>
    <m/>
    <s v="B"/>
    <s v="S"/>
    <s v="65D21H"/>
    <n v="1476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X)-MYPKG-(NX2)-KRPUS-(AX1)"/>
    <s v="59D4H"/>
    <n v="1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4.96"/>
    <n v="786.69"/>
    <n v="771.32"/>
    <n v="4935.6400000000003"/>
    <n v="0"/>
    <n v="0"/>
    <n v="644.96"/>
    <n v="786.69"/>
    <n v="771.32"/>
    <n v="4935.6400000000003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X"/>
    <s v="AX1"/>
    <m/>
    <m/>
    <s v="S"/>
    <s v="57D16H"/>
    <n v="1333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X)-MYPKG-(AGX)-KRPUS-(AX1)"/>
    <s v="75D3H"/>
    <n v="1"/>
    <s v="DR"/>
    <s v="D"/>
    <s v="Y"/>
    <s v="Y"/>
    <x v="64"/>
    <s v="KARACHI"/>
    <x v="38"/>
    <s v="KARACH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6.55999999999995"/>
    <n v="758.76"/>
    <n v="749.88"/>
    <n v="4776.37"/>
    <n v="0"/>
    <n v="0"/>
    <n v="626.55999999999995"/>
    <n v="758.76"/>
    <n v="749.88"/>
    <n v="4776.37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X"/>
    <s v="AX1"/>
    <m/>
    <s v="B"/>
    <s v="S"/>
    <s v="72D21H"/>
    <n v="1644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X)-MYPKG-(AGX)-KRPUS-(AX1)"/>
    <s v="66D4H"/>
    <n v="1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2.36"/>
    <n v="663.97"/>
    <n v="655.09"/>
    <n v="4745.07"/>
    <n v="0"/>
    <n v="0"/>
    <n v="562.36"/>
    <n v="663.97"/>
    <n v="655.09"/>
    <n v="4745.07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X"/>
    <s v="AX1"/>
    <m/>
    <m/>
    <s v="S"/>
    <s v="64D16H"/>
    <n v="1501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09.25647776"/>
    <n v="314.95443517000001"/>
    <n v="314.95443517000001"/>
    <n v="293.87672686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4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X)-CNSHA-(AX1)"/>
    <s v="66D4H"/>
    <n v="1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3.65"/>
    <n v="536.54999999999995"/>
    <n v="528.36"/>
    <n v="4578.4399999999996"/>
    <n v="0"/>
    <n v="0"/>
    <n v="483.65"/>
    <n v="536.54999999999995"/>
    <n v="528.36"/>
    <n v="4578.4399999999996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X"/>
    <s v="AX1"/>
    <m/>
    <m/>
    <s v="S"/>
    <s v="64D16H"/>
    <n v="1501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30.54860144"/>
    <n v="187.53940213999999"/>
    <n v="188.22940213999999"/>
    <n v="127.24596735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X)-CNNGB-(AX1)"/>
    <s v="66D4H"/>
    <n v="1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397.03"/>
    <n v="414.9"/>
    <n v="406.02"/>
    <n v="4544.51"/>
    <n v="0"/>
    <n v="0"/>
    <n v="397.03"/>
    <n v="414.9"/>
    <n v="406.02"/>
    <n v="4544.51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X"/>
    <s v="AX1"/>
    <m/>
    <m/>
    <s v="S"/>
    <s v="64D16H"/>
    <n v="1501"/>
    <s v="2018-09-29"/>
    <m/>
    <n v="62.029000000000003"/>
    <n v="62.029000000000003"/>
    <n v="62.029000000000003"/>
    <n v="62.029000000000003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43.922224630000002"/>
    <n v="65.883836939999995"/>
    <n v="65.883836939999995"/>
    <n v="93.31597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3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2)-SGSIN-(MD3)-KRPUS-(AX1)"/>
    <s v="74D3H"/>
    <n v="1"/>
    <s v="DR"/>
    <s v="D"/>
    <s v="Y"/>
    <s v="Y"/>
    <x v="64"/>
    <s v="KARACHI"/>
    <x v="38"/>
    <s v="KARACH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1.42"/>
    <n v="762.27"/>
    <n v="753.38"/>
    <n v="4800.95"/>
    <n v="0"/>
    <n v="0"/>
    <n v="691.42"/>
    <n v="762.27"/>
    <n v="753.38"/>
    <n v="4800.95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s v="B"/>
    <s v="S"/>
    <s v="71D21H"/>
    <n v="1603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5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2)-SGSIN-(MD3)-KRPUS-(AX1)"/>
    <s v="65D4H"/>
    <n v="1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7.23"/>
    <n v="667.47"/>
    <n v="658.59"/>
    <n v="4769.6499999999996"/>
    <n v="0"/>
    <n v="0"/>
    <n v="627.23"/>
    <n v="667.47"/>
    <n v="658.59"/>
    <n v="4769.6499999999996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m/>
    <s v="S"/>
    <s v="63D16H"/>
    <n v="1460"/>
    <s v="2018-09-29"/>
    <m/>
    <n v="84.251999999999995"/>
    <n v="85.251999999999995"/>
    <n v="85.251999999999995"/>
    <n v="85.25199999999999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2)-SGSIN-(MD2)-KRPUS-(AX1)"/>
    <s v="67D3H"/>
    <n v="1"/>
    <s v="DR"/>
    <s v="D"/>
    <s v="Y"/>
    <s v="Y"/>
    <x v="64"/>
    <s v="KARACHI"/>
    <x v="38"/>
    <s v="KARACH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1.42"/>
    <n v="762.27"/>
    <n v="753.38"/>
    <n v="4800.95"/>
    <n v="0"/>
    <n v="0"/>
    <n v="691.42"/>
    <n v="762.27"/>
    <n v="753.38"/>
    <n v="4800.95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s v="B"/>
    <s v="S"/>
    <s v="64D21H"/>
    <n v="1435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6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2)-SGSIN-(AR1)-KRPUS-(AX1)"/>
    <s v="65D4H"/>
    <n v="2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7.23"/>
    <n v="667.47"/>
    <n v="658.59"/>
    <n v="4769.6499999999996"/>
    <n v="0"/>
    <n v="0"/>
    <n v="627.23"/>
    <n v="667.47"/>
    <n v="658.59"/>
    <n v="4769.6499999999996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m/>
    <s v="S"/>
    <s v="63D16H"/>
    <n v="1460"/>
    <s v="2018-09-29"/>
    <m/>
    <n v="84.251999999999995"/>
    <n v="85.251999999999995"/>
    <n v="85.251999999999995"/>
    <n v="85.25199999999999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2)-SGSIN-(AGX)-KRPUS-(AX1)"/>
    <s v="74D3H"/>
    <n v="2"/>
    <s v="DR"/>
    <s v="D"/>
    <s v="Y"/>
    <s v="Y"/>
    <x v="64"/>
    <s v="KARACHI"/>
    <x v="38"/>
    <s v="KARACH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1.42"/>
    <n v="762.27"/>
    <n v="753.38"/>
    <n v="4800.95"/>
    <n v="0"/>
    <n v="0"/>
    <n v="691.42"/>
    <n v="762.27"/>
    <n v="753.38"/>
    <n v="4800.95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s v="B"/>
    <s v="S"/>
    <s v="71D21H"/>
    <n v="1603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7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2)-SGSIN-(AGX)-KRPUS-(AX1)"/>
    <s v="65D4H"/>
    <n v="2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7.23"/>
    <n v="667.47"/>
    <n v="658.59"/>
    <n v="4769.6499999999996"/>
    <n v="0"/>
    <n v="0"/>
    <n v="627.23"/>
    <n v="667.47"/>
    <n v="658.59"/>
    <n v="4769.6499999999996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m/>
    <s v="S"/>
    <s v="63D16H"/>
    <n v="1460"/>
    <s v="2018-09-29"/>
    <m/>
    <n v="84.251999999999995"/>
    <n v="85.251999999999995"/>
    <n v="85.251999999999995"/>
    <n v="85.25199999999999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08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TIP)-SGSIN-(CMS)-HKHKG-(AX2)-KRPUS-(AX1)"/>
    <s v="75D4H"/>
    <n v="3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1.38"/>
    <n v="934.33"/>
    <n v="925.45"/>
    <n v="5078.45"/>
    <n v="0"/>
    <n v="0"/>
    <n v="801.38"/>
    <n v="934.33"/>
    <n v="925.45"/>
    <n v="5078.45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TIP"/>
    <s v="AX1"/>
    <m/>
    <m/>
    <s v="T"/>
    <s v="73D16H"/>
    <n v="1718"/>
    <s v="2018-09-29"/>
    <m/>
    <n v="62.029000000000003"/>
    <n v="62.029000000000003"/>
    <n v="62.029000000000003"/>
    <n v="62.029000000000003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448.27049589000001"/>
    <n v="585.31902906000005"/>
    <n v="585.31902906000005"/>
    <n v="627.2543117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2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2"/>
    <s v="E"/>
    <s v="(PM2)-HKHKG-(AX2)-MXLZC-(AX1)"/>
    <s v="65D4H"/>
    <n v="3"/>
    <s v="DR"/>
    <s v="D"/>
    <s v="Y"/>
    <s v="Y"/>
    <x v="64"/>
    <s v="KARACHI"/>
    <x v="38"/>
    <s v="KARACH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7.35"/>
    <n v="898.56"/>
    <n v="889.68"/>
    <n v="4998.6099999999997"/>
    <n v="0"/>
    <n v="0"/>
    <n v="827.35"/>
    <n v="898.56"/>
    <n v="889.68"/>
    <n v="4998.6099999999997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m/>
    <s v="T"/>
    <s v="63D16H"/>
    <n v="1460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452.01802974999998"/>
    <n v="526.32454461999998"/>
    <n v="526.32454461999998"/>
    <n v="524.18782925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1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TIP)-SGSIN-(CMS)-HKHKG-(AX1)"/>
    <s v="84D3H"/>
    <n v="3"/>
    <s v="DR"/>
    <s v="D"/>
    <s v="Y"/>
    <s v="Y"/>
    <x v="64"/>
    <s v="KARACHI"/>
    <x v="38"/>
    <s v="KARACH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1.23"/>
    <n v="812.04"/>
    <n v="803.16"/>
    <n v="4890.3500000000004"/>
    <n v="0"/>
    <n v="0"/>
    <n v="711.23"/>
    <n v="812.04"/>
    <n v="803.16"/>
    <n v="4890.3500000000004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TIP"/>
    <s v="AX1"/>
    <m/>
    <s v="B"/>
    <s v="T"/>
    <s v="81D21H"/>
    <n v="1861"/>
    <s v="2018-09-29"/>
    <s v="Historical averaged cost."/>
    <n v="62.029000000000003"/>
    <n v="62.029000000000003"/>
    <n v="62.029000000000003"/>
    <n v="62.029000000000003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93.92602489000001"/>
    <n v="368.23253976000001"/>
    <n v="368.23253976000001"/>
    <n v="407.8558244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9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PM2)-HKHKG-(AX2)-KRPUS-(AX1)"/>
    <s v="74D3H"/>
    <n v="3"/>
    <s v="DR"/>
    <s v="D"/>
    <s v="Y"/>
    <s v="Y"/>
    <x v="64"/>
    <s v="KARACHI"/>
    <x v="38"/>
    <s v="KARACH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9.56"/>
    <n v="904.12"/>
    <n v="895.24"/>
    <n v="4984.74"/>
    <n v="0"/>
    <n v="0"/>
    <n v="739.56"/>
    <n v="904.12"/>
    <n v="895.24"/>
    <n v="4984.74"/>
    <n v="0"/>
    <n v="0"/>
    <s v="PKKHI"/>
    <n v="81.72"/>
    <n v="-44.305496069"/>
    <n v="-62.756929812999999"/>
    <n v="4015.506020588"/>
    <n v="0"/>
    <n v="0"/>
    <n v="81.72"/>
    <n v="-44.305496069"/>
    <n v="-62.7569298129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72"/>
    <n v="619"/>
    <n v="619"/>
    <n v="0"/>
    <n v="0"/>
    <n v="0"/>
    <m/>
    <m/>
    <m/>
    <m/>
    <m/>
    <m/>
    <m/>
    <m/>
    <m/>
    <m/>
    <m/>
    <m/>
    <s v="PM2"/>
    <s v="AX1"/>
    <m/>
    <s v="B"/>
    <s v="T"/>
    <s v="71D21H"/>
    <n v="1603"/>
    <s v="2018-09-29"/>
    <s v="Historical averaged cost."/>
    <n v="84.251999999999995"/>
    <n v="85.251999999999995"/>
    <n v="85.251999999999995"/>
    <n v="85.251999999999995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00.03850075000003"/>
    <n v="437.08703392000001"/>
    <n v="437.08703392000001"/>
    <n v="479.0223165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520018"/>
    <s v="OPUS"/>
    <n v="122"/>
    <n v="244"/>
    <n v="244"/>
    <x v="0"/>
    <x v="0"/>
    <x v="0"/>
    <n v="60"/>
    <n v="120"/>
    <n v="120"/>
    <x v="0"/>
    <x v="0"/>
    <x v="0"/>
    <x v="1"/>
    <x v="1"/>
    <x v="1"/>
    <m/>
    <m/>
    <m/>
    <m/>
    <m/>
    <m/>
    <x v="10"/>
    <x v="10"/>
    <m/>
    <x v="3"/>
    <x v="5"/>
    <x v="5"/>
    <x v="25"/>
    <x v="27"/>
    <x v="27"/>
    <x v="0"/>
    <x v="0"/>
    <x v="0"/>
    <m/>
    <m/>
    <m/>
    <m/>
    <m/>
    <m/>
  </r>
  <r>
    <s v="LW"/>
    <s v="LWE"/>
    <s v="LWT"/>
    <s v="LW"/>
    <s v="AX1"/>
    <s v="E"/>
    <s v="(AX1)-KRPUS-(AX1)"/>
    <s v="54D7H"/>
    <n v="3"/>
    <s v="DR"/>
    <s v="D"/>
    <s v="Y"/>
    <s v="Y"/>
    <x v="14"/>
    <s v="KEELUNG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2.51"/>
    <n v="729.83"/>
    <n v="860.79"/>
    <n v="834.33"/>
    <n v="0"/>
    <n v="0"/>
    <n v="582.51"/>
    <n v="729.83"/>
    <n v="860.79"/>
    <n v="834.33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m/>
    <m/>
    <s v="T"/>
    <s v="52D19H"/>
    <n v="1118"/>
    <s v="2018-09-29"/>
    <m/>
    <n v="84.688509999999994"/>
    <n v="118.40148000000001"/>
    <n v="118.40148000000001"/>
    <n v="118.40148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039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53D23H"/>
    <n v="1"/>
    <s v="DR"/>
    <s v="D"/>
    <s v="Y"/>
    <s v="Y"/>
    <x v="14"/>
    <s v="KEELUNG"/>
    <x v="26"/>
    <s v="KAOHSIUNG CITY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6.63"/>
    <n v="923.97"/>
    <n v="1054.93"/>
    <n v="1028.46"/>
    <n v="0"/>
    <n v="0"/>
    <n v="796.63"/>
    <n v="923.97"/>
    <n v="1054.93"/>
    <n v="1028.46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s v="T"/>
    <m/>
    <s v="S"/>
    <s v="52D5H"/>
    <n v="973"/>
    <s v="2018-09-29"/>
    <m/>
    <n v="81.980369999999994"/>
    <n v="95.711740000000006"/>
    <n v="95.711740000000006"/>
    <n v="95.711740000000006"/>
    <n v="0"/>
    <n v="0"/>
    <n v="216.82631000000001"/>
    <n v="216.82631000000001"/>
    <n v="216.82631000000001"/>
    <n v="216.82631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039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62D22H"/>
    <n v="1"/>
    <s v="DR"/>
    <s v="D"/>
    <s v="Y"/>
    <s v="Y"/>
    <x v="14"/>
    <s v="KEELUNG"/>
    <x v="26"/>
    <s v="KAOHSIUNG CITY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5.23"/>
    <n v="906.45"/>
    <n v="1043.3499999999999"/>
    <n v="885.34"/>
    <n v="0"/>
    <n v="0"/>
    <n v="785.23"/>
    <n v="906.45"/>
    <n v="1043.3499999999999"/>
    <n v="885.34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s v="T"/>
    <s v="B"/>
    <s v="S"/>
    <s v="60D10H"/>
    <n v="1116"/>
    <s v="2018-09-29"/>
    <s v="Historical averaged cost."/>
    <n v="81.980369999999994"/>
    <n v="95.711740000000006"/>
    <n v="95.711740000000006"/>
    <n v="95.711740000000006"/>
    <n v="0"/>
    <n v="0"/>
    <n v="216.82631000000001"/>
    <n v="216.82631000000001"/>
    <n v="216.82631000000001"/>
    <n v="216.82631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039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56D6H"/>
    <n v="2"/>
    <s v="DR"/>
    <s v="D"/>
    <s v="Y"/>
    <s v="Y"/>
    <x v="14"/>
    <s v="KEELUNG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5.84"/>
    <n v="681.79"/>
    <n v="812.53"/>
    <n v="725.08"/>
    <n v="0"/>
    <n v="0"/>
    <n v="545.84"/>
    <n v="681.79"/>
    <n v="812.53"/>
    <n v="725.08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m/>
    <s v="B"/>
    <s v="S"/>
    <s v="54D0H"/>
    <n v="1093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039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47D7H"/>
    <n v="1"/>
    <s v="DR"/>
    <s v="D"/>
    <s v="Y"/>
    <s v="Y"/>
    <x v="14"/>
    <s v="KEELUNG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9.04"/>
    <n v="568.27"/>
    <n v="700"/>
    <n v="664.72"/>
    <n v="0"/>
    <n v="0"/>
    <n v="469.04"/>
    <n v="568.27"/>
    <n v="700"/>
    <n v="664.72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m/>
    <m/>
    <s v="S"/>
    <s v="45D19H"/>
    <n v="950"/>
    <s v="2018-09-29"/>
    <m/>
    <n v="84.688509999999994"/>
    <n v="118.40148000000001"/>
    <n v="118.40148000000001"/>
    <n v="118.40148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039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63D6H"/>
    <n v="3"/>
    <s v="DR"/>
    <s v="D"/>
    <s v="Y"/>
    <s v="Y"/>
    <x v="14"/>
    <s v="KEELUNG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71.11"/>
    <n v="712.31"/>
    <n v="849.21"/>
    <n v="691.2"/>
    <n v="0"/>
    <n v="0"/>
    <n v="571.11"/>
    <n v="712.31"/>
    <n v="849.21"/>
    <n v="691.2"/>
    <n v="0"/>
    <n v="0"/>
    <s v="TWKEL"/>
    <n v="109.2004712"/>
    <n v="20.822714269999999"/>
    <n v="148.15"/>
    <n v="20.842061872999999"/>
    <n v="0"/>
    <n v="0"/>
    <n v="109.2004712"/>
    <n v="20.822714269999999"/>
    <n v="148.15"/>
    <n v="20.842061872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m/>
    <s v="B"/>
    <s v="T"/>
    <s v="61D0H"/>
    <n v="1261"/>
    <s v="2018-09-29"/>
    <s v="Historical averaged cost."/>
    <n v="84.688509999999994"/>
    <n v="118.40148000000001"/>
    <n v="118.40148000000001"/>
    <n v="118.40148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039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JT3)-HKHKG-(AX1)"/>
    <s v="60D10H"/>
    <n v="2"/>
    <s v="DR"/>
    <s v="D"/>
    <s v="Y"/>
    <s v="Y"/>
    <x v="39"/>
    <s v="LAEM CHABANG"/>
    <x v="27"/>
    <s v="LAEM CHAB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6.69000000000005"/>
    <n v="939.15"/>
    <n v="920.42"/>
    <n v="912.17"/>
    <n v="0"/>
    <n v="0"/>
    <n v="596.69000000000005"/>
    <n v="939.15"/>
    <n v="920.42"/>
    <n v="912.17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8.2"/>
    <n v="650.27"/>
    <n v="650.27"/>
    <n v="0"/>
    <n v="0"/>
    <n v="0"/>
    <m/>
    <m/>
    <m/>
    <m/>
    <m/>
    <m/>
    <m/>
    <m/>
    <m/>
    <m/>
    <m/>
    <m/>
    <s v="JT3"/>
    <s v="AX1"/>
    <m/>
    <s v="B"/>
    <s v="S"/>
    <s v="58D4H"/>
    <n v="1282"/>
    <s v="2018-09-29"/>
    <s v="Historical averaged cost."/>
    <n v="62.661230000000003"/>
    <n v="103.83439"/>
    <n v="103.83439"/>
    <n v="111.2412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8610006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5"/>
    <x v="5"/>
    <x v="18"/>
    <x v="20"/>
    <x v="20"/>
    <x v="0"/>
    <x v="0"/>
    <x v="0"/>
    <m/>
    <m/>
    <m/>
    <m/>
    <m/>
    <m/>
  </r>
  <r>
    <s v="LW"/>
    <s v="LWE"/>
    <s v="LWT"/>
    <s v="LW"/>
    <s v="AX1"/>
    <s v="E"/>
    <s v="(PN2)-CNYTN-(AX1)"/>
    <s v="54D6H"/>
    <n v="1"/>
    <s v="DR"/>
    <s v="D"/>
    <s v="Y"/>
    <s v="Y"/>
    <x v="39"/>
    <s v="LAEM CHABANG"/>
    <x v="27"/>
    <s v="LAEM CHAB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6.32000000000005"/>
    <n v="962.74"/>
    <n v="938.06"/>
    <n v="989.45"/>
    <n v="0"/>
    <n v="0"/>
    <n v="616.32000000000005"/>
    <n v="962.74"/>
    <n v="938.06"/>
    <n v="989.45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8.2"/>
    <n v="650.27"/>
    <n v="650.27"/>
    <n v="0"/>
    <n v="0"/>
    <n v="0"/>
    <m/>
    <m/>
    <m/>
    <m/>
    <m/>
    <m/>
    <m/>
    <m/>
    <m/>
    <m/>
    <m/>
    <m/>
    <s v="PN2"/>
    <s v="AX1"/>
    <m/>
    <s v="B"/>
    <s v="S"/>
    <s v="52D0H"/>
    <n v="1170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8610004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5"/>
    <x v="5"/>
    <x v="18"/>
    <x v="20"/>
    <x v="20"/>
    <x v="0"/>
    <x v="0"/>
    <x v="0"/>
    <m/>
    <m/>
    <m/>
    <m/>
    <m/>
    <m/>
  </r>
  <r>
    <s v="LW"/>
    <s v="LWE"/>
    <s v="LWT"/>
    <s v="LW"/>
    <s v="AX1"/>
    <s v="E"/>
    <s v="(PN2)-CNYTN-(AX1)"/>
    <s v="45D7H"/>
    <n v="1"/>
    <s v="DR"/>
    <s v="D"/>
    <s v="Y"/>
    <s v="Y"/>
    <x v="39"/>
    <s v="LAEM CHABANG"/>
    <x v="27"/>
    <s v="LAEM CHAB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9.52"/>
    <n v="849.22"/>
    <n v="825.54"/>
    <n v="929.08"/>
    <n v="0"/>
    <n v="0"/>
    <n v="539.52"/>
    <n v="849.22"/>
    <n v="825.54"/>
    <n v="929.08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8.2"/>
    <n v="650.27"/>
    <n v="650.27"/>
    <n v="0"/>
    <n v="0"/>
    <n v="0"/>
    <m/>
    <m/>
    <m/>
    <m/>
    <m/>
    <m/>
    <m/>
    <m/>
    <m/>
    <m/>
    <m/>
    <m/>
    <s v="PN2"/>
    <s v="AX1"/>
    <m/>
    <m/>
    <s v="S"/>
    <s v="43D19H"/>
    <n v="1027"/>
    <s v="2018-09-29"/>
    <m/>
    <n v="68.047970000000007"/>
    <n v="108.60635000000001"/>
    <n v="108.60635000000001"/>
    <n v="117.08593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84.328590559999995"/>
    <n v="126.49338582999999"/>
    <n v="126.49338582999999"/>
    <n v="156.63215611000001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8610001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5"/>
    <x v="5"/>
    <x v="18"/>
    <x v="20"/>
    <x v="20"/>
    <x v="0"/>
    <x v="0"/>
    <x v="0"/>
    <m/>
    <m/>
    <m/>
    <m/>
    <m/>
    <m/>
  </r>
  <r>
    <s v="LW"/>
    <s v="LWE"/>
    <s v="LWT"/>
    <s v="LW"/>
    <s v="AX1"/>
    <s v="E"/>
    <s v="(JT1)-KRPUS-(AX1)"/>
    <s v="58D22H"/>
    <n v="1"/>
    <s v="DR"/>
    <s v="D"/>
    <s v="Y"/>
    <s v="Y"/>
    <x v="39"/>
    <s v="LAEM CHABANG"/>
    <x v="27"/>
    <s v="LAEM CHAB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2.65"/>
    <n v="993.65"/>
    <n v="968.42"/>
    <n v="995.96"/>
    <n v="0"/>
    <n v="0"/>
    <n v="642.65"/>
    <n v="993.65"/>
    <n v="968.42"/>
    <n v="995.96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8.2"/>
    <n v="650.27"/>
    <n v="650.27"/>
    <n v="0"/>
    <n v="0"/>
    <n v="0"/>
    <m/>
    <m/>
    <m/>
    <m/>
    <m/>
    <m/>
    <m/>
    <m/>
    <m/>
    <m/>
    <m/>
    <m/>
    <s v="JT1"/>
    <s v="AX1"/>
    <m/>
    <s v="B"/>
    <s v="S"/>
    <s v="56D17H"/>
    <n v="1166"/>
    <s v="2018-09-29"/>
    <s v="Historical averaged cost."/>
    <n v="68.047970000000007"/>
    <n v="108.60635000000001"/>
    <n v="108.60635000000001"/>
    <n v="117.08593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8610005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5"/>
    <x v="5"/>
    <x v="18"/>
    <x v="20"/>
    <x v="20"/>
    <x v="0"/>
    <x v="0"/>
    <x v="0"/>
    <m/>
    <m/>
    <m/>
    <m/>
    <m/>
    <m/>
  </r>
  <r>
    <s v="LW"/>
    <s v="LWE"/>
    <s v="LWT"/>
    <s v="LW"/>
    <s v="AX1"/>
    <s v="E"/>
    <s v="(JT1)-KRPUS-(AX1)"/>
    <s v="49D23H"/>
    <n v="1"/>
    <s v="DR"/>
    <s v="D"/>
    <s v="Y"/>
    <s v="Y"/>
    <x v="39"/>
    <s v="LAEM CHABANG"/>
    <x v="27"/>
    <s v="LAEM CHAB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5.86"/>
    <n v="880.13"/>
    <n v="855.89"/>
    <n v="935.6"/>
    <n v="0"/>
    <n v="0"/>
    <n v="565.86"/>
    <n v="880.13"/>
    <n v="855.89"/>
    <n v="935.6"/>
    <n v="0"/>
    <n v="0"/>
    <s v="THLCH"/>
    <n v="114.786754239"/>
    <n v="189.23217852100001"/>
    <n v="160.92378295500001"/>
    <n v="136.35"/>
    <n v="0"/>
    <n v="0"/>
    <n v="114.786754239"/>
    <n v="189.23217852100001"/>
    <n v="160.92378295500001"/>
    <n v="136.35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08.2"/>
    <n v="650.27"/>
    <n v="650.27"/>
    <n v="0"/>
    <n v="0"/>
    <n v="0"/>
    <m/>
    <m/>
    <m/>
    <m/>
    <m/>
    <m/>
    <m/>
    <m/>
    <m/>
    <m/>
    <m/>
    <m/>
    <s v="JT1"/>
    <s v="AX1"/>
    <m/>
    <m/>
    <s v="S"/>
    <s v="48D12H"/>
    <n v="1023"/>
    <s v="2018-09-29"/>
    <m/>
    <n v="68.047970000000007"/>
    <n v="108.60635000000001"/>
    <n v="108.60635000000001"/>
    <n v="117.08593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8610002"/>
    <s v="OPUS"/>
    <n v="122"/>
    <n v="244"/>
    <n v="244"/>
    <x v="0"/>
    <x v="0"/>
    <x v="0"/>
    <n v="60"/>
    <n v="120"/>
    <n v="120"/>
    <x v="0"/>
    <x v="0"/>
    <x v="0"/>
    <x v="9"/>
    <x v="9"/>
    <x v="9"/>
    <m/>
    <m/>
    <m/>
    <m/>
    <m/>
    <m/>
    <x v="11"/>
    <x v="11"/>
    <n v="6.0096334424081803"/>
    <x v="3"/>
    <x v="5"/>
    <x v="5"/>
    <x v="18"/>
    <x v="20"/>
    <x v="20"/>
    <x v="0"/>
    <x v="0"/>
    <x v="0"/>
    <m/>
    <m/>
    <m/>
    <m/>
    <m/>
    <m/>
  </r>
  <r>
    <s v="LW"/>
    <s v="LWE"/>
    <s v="LWT"/>
    <s v="LW"/>
    <s v="AX1"/>
    <s v="E"/>
    <s v="(NCI)-SGSIN-(NX2)-KRPUS-(AX1)"/>
    <s v="64D18H"/>
    <n v="1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73"/>
    <n v="921.14"/>
    <n v="820.67"/>
    <n v="4788.1099999999997"/>
    <n v="0"/>
    <n v="0"/>
    <n v="744.73"/>
    <n v="921.14"/>
    <n v="820.67"/>
    <n v="4788.109999999999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s v="B"/>
    <s v="S"/>
    <s v="62D12H"/>
    <n v="1416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HKHKG-(AX1)"/>
    <s v="70D6H"/>
    <n v="2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53"/>
    <n v="845.91"/>
    <n v="745.44"/>
    <n v="4752.51"/>
    <n v="0"/>
    <n v="0"/>
    <n v="638.53"/>
    <n v="845.91"/>
    <n v="745.44"/>
    <n v="4752.51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s v="B"/>
    <s v="S"/>
    <s v="68D0H"/>
    <n v="1548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SW2)-CNNGB-(AGX)-KRPUS-(AX1)"/>
    <s v="59D20H"/>
    <n v="3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8.37"/>
    <n v="1016.9"/>
    <n v="909.83"/>
    <n v="5043.8100000000004"/>
    <n v="0"/>
    <n v="0"/>
    <n v="808.37"/>
    <n v="1016.9"/>
    <n v="909.83"/>
    <n v="5043.810000000000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T"/>
    <s v="58D8H"/>
    <n v="1370"/>
    <s v="2018-09-29"/>
    <m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95.73593376999997"/>
    <n v="360.98961467999999"/>
    <n v="360.98961467999999"/>
    <n v="388.42174782000001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MD1)-KRPUS-(AX1)"/>
    <s v="52D20H"/>
    <n v="2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4.74"/>
    <n v="936.58"/>
    <n v="830.28"/>
    <n v="4928.01"/>
    <n v="0"/>
    <n v="0"/>
    <n v="754.74"/>
    <n v="936.58"/>
    <n v="830.28"/>
    <n v="4928.01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S"/>
    <s v="51D8H"/>
    <n v="1202"/>
    <s v="2018-09-29"/>
    <m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AGX)-KRPUS-(AX1)"/>
    <s v="59D20H"/>
    <n v="2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4.54"/>
    <n v="951.14"/>
    <n v="844.07"/>
    <n v="4950.62"/>
    <n v="0"/>
    <n v="0"/>
    <n v="764.54"/>
    <n v="951.14"/>
    <n v="844.07"/>
    <n v="4950.62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S"/>
    <s v="58D8H"/>
    <n v="1370"/>
    <s v="2018-09-29"/>
    <m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AGX)-KRPUS-(AX1)"/>
    <s v="68D19H"/>
    <n v="2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73"/>
    <n v="921.14"/>
    <n v="820.67"/>
    <n v="4788.1099999999997"/>
    <n v="0"/>
    <n v="0"/>
    <n v="744.73"/>
    <n v="921.14"/>
    <n v="820.67"/>
    <n v="4788.109999999999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s v="B"/>
    <s v="S"/>
    <s v="66D13H"/>
    <n v="1513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AR1)-KRPUS-(AX1)"/>
    <s v="52D20H"/>
    <n v="2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4.74"/>
    <n v="936.58"/>
    <n v="830.28"/>
    <n v="4928.01"/>
    <n v="0"/>
    <n v="0"/>
    <n v="754.74"/>
    <n v="936.58"/>
    <n v="830.28"/>
    <n v="4928.01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S"/>
    <s v="51D8H"/>
    <n v="1202"/>
    <s v="2018-09-29"/>
    <m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CSW)-KRPUS-(AX1)"/>
    <s v="59D20H"/>
    <n v="1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5.22"/>
    <n v="1021.23"/>
    <n v="914.16"/>
    <n v="5023.0200000000004"/>
    <n v="0"/>
    <n v="0"/>
    <n v="815.22"/>
    <n v="1021.23"/>
    <n v="914.16"/>
    <n v="5023.020000000000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S"/>
    <s v="58D8H"/>
    <n v="1370"/>
    <s v="2018-09-29"/>
    <m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NCI)-SGSIN-(AGX)-KRPUS-(AX1)"/>
    <s v="78D18H"/>
    <n v="1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73"/>
    <n v="921.14"/>
    <n v="820.67"/>
    <n v="4788.1099999999997"/>
    <n v="0"/>
    <n v="0"/>
    <n v="744.73"/>
    <n v="921.14"/>
    <n v="820.67"/>
    <n v="4788.109999999999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s v="B"/>
    <s v="S"/>
    <s v="76D12H"/>
    <n v="1752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NCI)-MYPKG-(NX2)-KRPUS-(AX1)"/>
    <s v="64D18H"/>
    <n v="1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79"/>
    <n v="896.09"/>
    <n v="795.62"/>
    <n v="4780.24"/>
    <n v="0"/>
    <n v="0"/>
    <n v="678.79"/>
    <n v="896.09"/>
    <n v="795.62"/>
    <n v="4780.2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s v="B"/>
    <s v="S"/>
    <s v="62D12H"/>
    <n v="1416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85.95184814999999"/>
    <n v="270.18417596"/>
    <n v="270.18417596"/>
    <n v="287.35572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NCI)-SGSIN-(AGX)-KRPUS-(AX1)"/>
    <s v="69D19H"/>
    <n v="2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0.54"/>
    <n v="826.34"/>
    <n v="725.87"/>
    <n v="4756.82"/>
    <n v="0"/>
    <n v="0"/>
    <n v="680.54"/>
    <n v="826.34"/>
    <n v="725.87"/>
    <n v="4756.82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m/>
    <s v="S"/>
    <s v="68D7H"/>
    <n v="1609"/>
    <s v="2018-09-29"/>
    <m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NCI)-MYPKG-(AGX)-KRPUS-(AX1)"/>
    <s v="78D18H"/>
    <n v="1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79"/>
    <n v="896.09"/>
    <n v="795.62"/>
    <n v="4780.24"/>
    <n v="0"/>
    <n v="0"/>
    <n v="678.79"/>
    <n v="896.09"/>
    <n v="795.62"/>
    <n v="4780.24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s v="B"/>
    <s v="S"/>
    <s v="76D12H"/>
    <n v="1752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85.95184814999999"/>
    <n v="270.18417596"/>
    <n v="270.18417596"/>
    <n v="287.35572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X)-CNTAO-(AX3)-KRPUS-(AX1)"/>
    <s v="72D8H"/>
    <n v="2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8.14"/>
    <n v="880.03"/>
    <n v="884.9"/>
    <n v="4922.57"/>
    <n v="0"/>
    <n v="0"/>
    <n v="738.14"/>
    <n v="880.03"/>
    <n v="884.9"/>
    <n v="4922.5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X"/>
    <s v="AX1"/>
    <m/>
    <s v="B"/>
    <s v="S"/>
    <s v="70D2H"/>
    <n v="1598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45.30923569999999"/>
    <n v="254.12617387"/>
    <n v="359.46556514999997"/>
    <n v="429.69182598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SW2)-CNSHA-(AX1)"/>
    <s v="59D20H"/>
    <n v="2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1.98"/>
    <n v="991.52"/>
    <n v="885.13"/>
    <n v="4930.7"/>
    <n v="0"/>
    <n v="0"/>
    <n v="791.98"/>
    <n v="991.52"/>
    <n v="885.13"/>
    <n v="4930.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S"/>
    <s v="58D8H"/>
    <n v="1370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79.33959657999998"/>
    <n v="335.60539727999998"/>
    <n v="336.29539727999997"/>
    <n v="275.31196249999999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MD3)-CNNGB-(AX1)"/>
    <s v="66D20H"/>
    <n v="2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8.82000000000005"/>
    <n v="756.77"/>
    <n v="656.3"/>
    <n v="4714.68"/>
    <n v="0"/>
    <n v="0"/>
    <n v="628.82000000000005"/>
    <n v="756.77"/>
    <n v="656.3"/>
    <n v="4714.68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S"/>
    <s v="65D8H"/>
    <n v="1538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00.18626685999999"/>
    <n v="225.66340271999999"/>
    <n v="225.66340271999999"/>
    <n v="253.095535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X)-CNTAO-(MD1)-KRPUS-(AX1)"/>
    <s v="72D8H"/>
    <n v="2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0.09"/>
    <n v="882.8"/>
    <n v="782.32"/>
    <n v="4784.8900000000003"/>
    <n v="0"/>
    <n v="0"/>
    <n v="670.09"/>
    <n v="882.8"/>
    <n v="782.32"/>
    <n v="4784.8900000000003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X"/>
    <s v="AX1"/>
    <m/>
    <s v="B"/>
    <s v="S"/>
    <s v="70D2H"/>
    <n v="1598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77.25897484000001"/>
    <n v="256.89017388000002"/>
    <n v="256.89017388000002"/>
    <n v="292.0033043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X)-CNSHA-(AX1)"/>
    <s v="72D8H"/>
    <n v="2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3.38"/>
    <n v="813.45"/>
    <n v="713.66"/>
    <n v="4620.13"/>
    <n v="0"/>
    <n v="0"/>
    <n v="623.38"/>
    <n v="813.45"/>
    <n v="713.66"/>
    <n v="4620.13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X"/>
    <s v="AX1"/>
    <m/>
    <s v="B"/>
    <s v="S"/>
    <s v="70D2H"/>
    <n v="1598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30.54860144"/>
    <n v="187.53940213999999"/>
    <n v="188.22940213999999"/>
    <n v="127.24596735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PM2)-SGSIN-(MD1)-CNNGB-(AX1)"/>
    <s v="59D20H"/>
    <n v="2"/>
    <s v="DR"/>
    <s v="D"/>
    <s v="Y"/>
    <s v="Y"/>
    <x v="66"/>
    <s v="MUNDRA"/>
    <x v="6"/>
    <s v="MUNDR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2.82"/>
    <n v="881.57"/>
    <n v="774.5"/>
    <n v="4908.4799999999996"/>
    <n v="0"/>
    <n v="0"/>
    <n v="712.82"/>
    <n v="881.57"/>
    <n v="774.5"/>
    <n v="4908.4799999999996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PM2"/>
    <s v="AX1"/>
    <m/>
    <m/>
    <s v="S"/>
    <s v="58D8H"/>
    <n v="1370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00.18626685999999"/>
    <n v="225.66340271999999"/>
    <n v="225.66340271999999"/>
    <n v="253.0955358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NCI)-SGSIN-(CSW)-KRPUS-(AX1)"/>
    <s v="71D18H"/>
    <n v="1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5.41"/>
    <n v="991.22"/>
    <n v="890.75"/>
    <n v="4860.51"/>
    <n v="0"/>
    <n v="0"/>
    <n v="795.41"/>
    <n v="991.22"/>
    <n v="890.75"/>
    <n v="4860.51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s v="B"/>
    <s v="S"/>
    <s v="69D12H"/>
    <n v="1584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NCI)-SGSIN-(MD2)-KRPUS-(AX1)"/>
    <s v="71D18H"/>
    <n v="1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73"/>
    <n v="921.14"/>
    <n v="820.67"/>
    <n v="4788.1099999999997"/>
    <n v="0"/>
    <n v="0"/>
    <n v="744.73"/>
    <n v="921.14"/>
    <n v="820.67"/>
    <n v="4788.109999999999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s v="B"/>
    <s v="S"/>
    <s v="69D12H"/>
    <n v="1584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NCI)-SGSIN-(MD3)-KRPUS-(AX1)"/>
    <s v="71D18H"/>
    <n v="1"/>
    <s v="DR"/>
    <s v="D"/>
    <s v="Y"/>
    <s v="Y"/>
    <x v="66"/>
    <s v="MUNDRA"/>
    <x v="6"/>
    <s v="MUNDR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4.73"/>
    <n v="921.14"/>
    <n v="820.67"/>
    <n v="4788.1099999999997"/>
    <n v="0"/>
    <n v="0"/>
    <n v="744.73"/>
    <n v="921.14"/>
    <n v="820.67"/>
    <n v="4788.1099999999997"/>
    <n v="0"/>
    <n v="0"/>
    <s v="INMUN"/>
    <n v="100.004914505"/>
    <n v="20.902514511"/>
    <n v="-89.14"/>
    <n v="4015.506020588"/>
    <n v="0"/>
    <n v="0"/>
    <n v="100.004914505"/>
    <n v="20.902514511"/>
    <n v="-89.14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5.45"/>
    <n v="684.67"/>
    <n v="684.67"/>
    <n v="0"/>
    <n v="0"/>
    <n v="0"/>
    <m/>
    <m/>
    <m/>
    <m/>
    <m/>
    <m/>
    <m/>
    <m/>
    <m/>
    <m/>
    <m/>
    <m/>
    <s v="NCI"/>
    <s v="AX1"/>
    <m/>
    <s v="B"/>
    <s v="S"/>
    <s v="69D12H"/>
    <n v="1584"/>
    <s v="2018-09-29"/>
    <s v="Historical averaged cost."/>
    <n v="119.27800000000001"/>
    <n v="178.917"/>
    <n v="178.917"/>
    <n v="72.41700000000000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38179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7"/>
    <x v="29"/>
    <x v="29"/>
    <x v="0"/>
    <x v="0"/>
    <x v="0"/>
    <m/>
    <m/>
    <m/>
    <m/>
    <m/>
    <m/>
  </r>
  <r>
    <s v="LW"/>
    <s v="LWE"/>
    <s v="LWT"/>
    <s v="LW"/>
    <s v="AX1"/>
    <s v="E"/>
    <s v="(EC1)-KRPUS-(AX1)"/>
    <s v="47D12H"/>
    <n v="3"/>
    <s v="DR"/>
    <s v="D"/>
    <s v="Y"/>
    <s v="Y"/>
    <x v="44"/>
    <s v="NANJI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3.42"/>
    <n v="1395.38"/>
    <n v="1350.72"/>
    <n v="1574.49"/>
    <n v="0"/>
    <n v="0"/>
    <n v="893.42"/>
    <n v="1395.38"/>
    <n v="1350.72"/>
    <n v="1574.4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EC1"/>
    <s v="AX1"/>
    <s v="B"/>
    <s v="B"/>
    <s v="T"/>
    <s v="45D0H"/>
    <n v="922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9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44D13H"/>
    <n v="3"/>
    <s v="DR"/>
    <s v="D"/>
    <s v="Y"/>
    <s v="Y"/>
    <x v="44"/>
    <s v="NANJI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5.02"/>
    <n v="1294.3399999999999"/>
    <n v="1250.01"/>
    <n v="1533.51"/>
    <n v="0"/>
    <n v="0"/>
    <n v="825.02"/>
    <n v="1294.3399999999999"/>
    <n v="1250.01"/>
    <n v="1533.51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T"/>
    <s v="42D19H"/>
    <n v="901"/>
    <s v="2018-09-29"/>
    <m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1D13H"/>
    <n v="1"/>
    <s v="DR"/>
    <s v="D"/>
    <s v="Y"/>
    <s v="Y"/>
    <x v="44"/>
    <s v="NANJING, JIANGSU"/>
    <x v="3"/>
    <s v="SHANGHAI, SHANGHA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6.52"/>
    <n v="1239.1199999999999"/>
    <n v="1195.1199999999999"/>
    <n v="1496.06"/>
    <n v="0"/>
    <n v="0"/>
    <n v="776.52"/>
    <n v="1239.1199999999999"/>
    <n v="1195.1199999999999"/>
    <n v="1496.06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S"/>
    <s v="39D20H"/>
    <n v="780"/>
    <s v="2018-09-29"/>
    <m/>
    <n v="99.140680000000003"/>
    <n v="148.71053000000001"/>
    <n v="148.71053000000001"/>
    <n v="179.43451999999999"/>
    <n v="0"/>
    <n v="0"/>
    <n v="165"/>
    <n v="285"/>
    <n v="285"/>
    <n v="365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7D13H"/>
    <n v="1"/>
    <s v="DR"/>
    <s v="D"/>
    <s v="Y"/>
    <s v="Y"/>
    <x v="44"/>
    <s v="NANJI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1.56"/>
    <n v="1132.79"/>
    <n v="1089.22"/>
    <n v="1363.9"/>
    <n v="0"/>
    <n v="0"/>
    <n v="711.56"/>
    <n v="1132.79"/>
    <n v="1089.22"/>
    <n v="1363.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S"/>
    <s v="35D19H"/>
    <n v="733"/>
    <s v="2018-09-29"/>
    <m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"/>
    <n v="79.040000000000006"/>
    <n v="74.86"/>
    <n v="122.7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50D12H"/>
    <n v="1"/>
    <s v="DR"/>
    <s v="D"/>
    <s v="Y"/>
    <s v="Y"/>
    <x v="44"/>
    <s v="NANJING, JIANGSU"/>
    <x v="3"/>
    <s v="SHANGHAI, SHANGHA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53.32"/>
    <n v="1352.64"/>
    <n v="1307.6500000000001"/>
    <n v="1556.42"/>
    <n v="0"/>
    <n v="0"/>
    <n v="853.32"/>
    <n v="1352.64"/>
    <n v="1307.6500000000001"/>
    <n v="1556.42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S"/>
    <s v="48D1H"/>
    <n v="923"/>
    <s v="2018-09-29"/>
    <s v="Historical averaged cost."/>
    <n v="99.140680000000003"/>
    <n v="148.71053000000001"/>
    <n v="148.71053000000001"/>
    <n v="179.43451999999999"/>
    <n v="0"/>
    <n v="0"/>
    <n v="165"/>
    <n v="285"/>
    <n v="285"/>
    <n v="365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6D12H"/>
    <n v="1"/>
    <s v="DR"/>
    <s v="D"/>
    <s v="Y"/>
    <s v="Y"/>
    <x v="44"/>
    <s v="NANJI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8.36"/>
    <n v="1246.3"/>
    <n v="1201.75"/>
    <n v="1424.26"/>
    <n v="0"/>
    <n v="0"/>
    <n v="788.36"/>
    <n v="1246.3"/>
    <n v="1201.75"/>
    <n v="1424.26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S"/>
    <s v="44D0H"/>
    <n v="876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40D13H"/>
    <n v="3"/>
    <s v="DR"/>
    <s v="D"/>
    <s v="Y"/>
    <s v="Y"/>
    <x v="44"/>
    <s v="NANJI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70.1"/>
    <n v="1356.11"/>
    <n v="1312.22"/>
    <n v="1592.98"/>
    <n v="0"/>
    <n v="0"/>
    <n v="870.1"/>
    <n v="1356.11"/>
    <n v="1312.22"/>
    <n v="1592.98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2"/>
    <s v="AX1"/>
    <s v="F"/>
    <m/>
    <s v="T"/>
    <s v="38D19H"/>
    <n v="828"/>
    <s v="2018-09-29"/>
    <m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57D12H"/>
    <n v="3"/>
    <s v="DR"/>
    <s v="D"/>
    <s v="Y"/>
    <s v="Y"/>
    <x v="44"/>
    <s v="NANJI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7.42"/>
    <n v="1416.18"/>
    <n v="1370.42"/>
    <n v="1606.79"/>
    <n v="0"/>
    <n v="0"/>
    <n v="907.42"/>
    <n v="1416.18"/>
    <n v="1370.42"/>
    <n v="1606.79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3"/>
    <s v="AX1"/>
    <s v="B"/>
    <s v="B"/>
    <s v="T"/>
    <s v="55D0H"/>
    <n v="1149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8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49D12H"/>
    <n v="3"/>
    <s v="DR"/>
    <s v="D"/>
    <s v="Y"/>
    <s v="Y"/>
    <x v="44"/>
    <s v="NANJI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46.9"/>
    <n v="1469.63"/>
    <n v="1424.75"/>
    <n v="1653.35"/>
    <n v="0"/>
    <n v="0"/>
    <n v="946.9"/>
    <n v="1469.63"/>
    <n v="1424.75"/>
    <n v="1653.35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2"/>
    <s v="AX1"/>
    <s v="B"/>
    <s v="B"/>
    <s v="T"/>
    <s v="47D0H"/>
    <n v="971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10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EC1)-KRPUS-(AX1)"/>
    <s v="38D13H"/>
    <n v="3"/>
    <s v="DR"/>
    <s v="D"/>
    <s v="Y"/>
    <s v="Y"/>
    <x v="44"/>
    <s v="NANJI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16.62"/>
    <n v="1281.8599999999999"/>
    <n v="1238.19"/>
    <n v="1514.13"/>
    <n v="0"/>
    <n v="0"/>
    <n v="816.62"/>
    <n v="1281.8599999999999"/>
    <n v="1238.19"/>
    <n v="1514.13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EC1"/>
    <s v="AX1"/>
    <s v="F"/>
    <m/>
    <s v="T"/>
    <s v="36D19H"/>
    <n v="779"/>
    <s v="2018-09-29"/>
    <m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48D13H"/>
    <n v="3"/>
    <s v="DR"/>
    <s v="D"/>
    <s v="Y"/>
    <s v="Y"/>
    <x v="44"/>
    <s v="NANJI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0.62"/>
    <n v="1302.6600000000001"/>
    <n v="1257.8900000000001"/>
    <n v="1546.43"/>
    <n v="0"/>
    <n v="0"/>
    <n v="830.62"/>
    <n v="1302.6600000000001"/>
    <n v="1257.8900000000001"/>
    <n v="1546.43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3"/>
    <s v="AX1"/>
    <s v="F"/>
    <m/>
    <s v="T"/>
    <s v="46D19H"/>
    <n v="1006"/>
    <s v="2018-09-29"/>
    <m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53D12H"/>
    <n v="3"/>
    <s v="DR"/>
    <s v="D"/>
    <s v="Y"/>
    <s v="Y"/>
    <x v="44"/>
    <s v="NANJI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01.82"/>
    <n v="1407.86"/>
    <n v="1362.54"/>
    <n v="1593.87"/>
    <n v="0"/>
    <n v="0"/>
    <n v="901.82"/>
    <n v="1407.86"/>
    <n v="1362.54"/>
    <n v="1593.87"/>
    <n v="0"/>
    <n v="0"/>
    <s v="CNNKG"/>
    <n v="244.228401561"/>
    <n v="386.76370850199999"/>
    <n v="337.81101683100002"/>
    <n v="442.29988498500001"/>
    <n v="0"/>
    <n v="0"/>
    <n v="244.228401561"/>
    <n v="386.76370850199999"/>
    <n v="337.81101683100002"/>
    <n v="442.299884985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T"/>
    <s v="51D0H"/>
    <n v="1044"/>
    <s v="2018-09-29"/>
    <s v="Historical averaged cost."/>
    <n v="21.89311"/>
    <n v="32.839919999999999"/>
    <n v="32.839919999999999"/>
    <n v="46.555990000000001"/>
    <n v="0"/>
    <n v="0"/>
    <n v="182.88088999999999"/>
    <n v="302.85075000000001"/>
    <n v="302.85075000000001"/>
    <n v="378.6365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543000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0D21H"/>
    <n v="1"/>
    <s v="DR"/>
    <s v="D"/>
    <s v="Y"/>
    <s v="Y"/>
    <x v="15"/>
    <s v="NANSHA, GUANGDONG"/>
    <x v="8"/>
    <s v="YANTIAN, GUANG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2.04"/>
    <n v="743.43"/>
    <n v="922.34"/>
    <n v="900.06"/>
    <n v="0"/>
    <n v="0"/>
    <n v="582.04"/>
    <n v="743.43"/>
    <n v="922.34"/>
    <n v="900.06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9D4H"/>
    <n v="853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76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1D1H"/>
    <n v="1"/>
    <s v="DR"/>
    <s v="D"/>
    <s v="Y"/>
    <s v="Y"/>
    <x v="15"/>
    <s v="NANSHA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7.19000000000005"/>
    <n v="777.09"/>
    <n v="956"/>
    <n v="934.29"/>
    <n v="0"/>
    <n v="0"/>
    <n v="607.19000000000005"/>
    <n v="777.09"/>
    <n v="956"/>
    <n v="934.29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9D7H"/>
    <n v="864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76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9D20H"/>
    <n v="1"/>
    <s v="DR"/>
    <s v="D"/>
    <s v="Y"/>
    <s v="Y"/>
    <x v="15"/>
    <s v="NANSHA, GUANGDONG"/>
    <x v="8"/>
    <s v="YANTIAN, GUANG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58.84"/>
    <n v="856.95"/>
    <n v="1034.8699999999999"/>
    <n v="960.43"/>
    <n v="0"/>
    <n v="0"/>
    <n v="658.84"/>
    <n v="856.95"/>
    <n v="1034.8699999999999"/>
    <n v="960.43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7D9H"/>
    <n v="996"/>
    <s v="2018-09-29"/>
    <s v="Historical averaged cost."/>
    <n v="99.034589999999994"/>
    <n v="148.05239"/>
    <n v="148.05239"/>
    <n v="178.19116"/>
    <n v="0"/>
    <n v="0"/>
    <n v="96.828609999999998"/>
    <n v="157.98351"/>
    <n v="157.98351"/>
    <n v="169.45006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76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50D0H"/>
    <n v="1"/>
    <s v="DR"/>
    <s v="D"/>
    <s v="Y"/>
    <s v="Y"/>
    <x v="15"/>
    <s v="NANSHA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3.99"/>
    <n v="890.61"/>
    <n v="1068.53"/>
    <n v="994.66"/>
    <n v="0"/>
    <n v="0"/>
    <n v="683.99"/>
    <n v="890.61"/>
    <n v="1068.53"/>
    <n v="994.66"/>
    <n v="0"/>
    <n v="0"/>
    <s v="CNNSA"/>
    <n v="119.421261411"/>
    <n v="20.822714269999999"/>
    <n v="194.674295771"/>
    <n v="46.327061872999998"/>
    <n v="0"/>
    <n v="0"/>
    <n v="119.421261411"/>
    <n v="20.822714269999999"/>
    <n v="194.674295771"/>
    <n v="46.327061872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7D12H"/>
    <n v="1007"/>
    <s v="2018-09-29"/>
    <s v="Historical averaged cost."/>
    <n v="163.16902999999999"/>
    <n v="246.30954"/>
    <n v="246.30954"/>
    <n v="285.93283000000002"/>
    <n v="0"/>
    <n v="0"/>
    <n v="57.842350000000003"/>
    <n v="93.388639999999995"/>
    <n v="93.388639999999995"/>
    <n v="95.936760000000007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1176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PS3)-SGSIN-(MD2)-KRPUS-(AX1)"/>
    <s v="60D14H"/>
    <n v="2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8.28"/>
    <n v="729.84"/>
    <n v="655.20000000000005"/>
    <n v="4815.3"/>
    <n v="0"/>
    <n v="0"/>
    <n v="558.28"/>
    <n v="729.84"/>
    <n v="655.20000000000005"/>
    <n v="4815.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PS3"/>
    <s v="AX1"/>
    <m/>
    <m/>
    <s v="S"/>
    <s v="59D2H"/>
    <n v="1381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PS3)-SGSIN-(AGX)-KRPUS-(AX1)"/>
    <s v="67D14H"/>
    <n v="2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8.28"/>
    <n v="729.84"/>
    <n v="655.20000000000005"/>
    <n v="4815.3"/>
    <n v="0"/>
    <n v="0"/>
    <n v="558.28"/>
    <n v="729.84"/>
    <n v="655.20000000000005"/>
    <n v="4815.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PS3"/>
    <s v="AX1"/>
    <m/>
    <m/>
    <s v="S"/>
    <s v="66D2H"/>
    <n v="1549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PS3)-SGSIN-(AGX)-KRPUS-(AX1)"/>
    <s v="76D13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48"/>
    <n v="824.64"/>
    <n v="749.99"/>
    <n v="4846.59"/>
    <n v="0"/>
    <n v="0"/>
    <n v="622.48"/>
    <n v="824.64"/>
    <n v="749.99"/>
    <n v="4846.5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PS3"/>
    <s v="AX1"/>
    <m/>
    <s v="B"/>
    <s v="S"/>
    <s v="74D7H"/>
    <n v="1692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NCI)-SGSIN-(MD3)-KRPUS-(AX1)"/>
    <s v="66D13H"/>
    <n v="2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97"/>
    <n v="745.88"/>
    <n v="671.23"/>
    <n v="4824.09"/>
    <n v="0"/>
    <n v="0"/>
    <n v="568.97"/>
    <n v="745.88"/>
    <n v="671.23"/>
    <n v="4824.0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NCI"/>
    <s v="AX1"/>
    <m/>
    <m/>
    <s v="S"/>
    <s v="65D1H"/>
    <n v="1491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NCI)-SGSIN-(MD3)-KRPUS-(AX1)"/>
    <s v="75D12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3.16999999999996"/>
    <n v="840.67"/>
    <n v="766.03"/>
    <n v="4855.3900000000003"/>
    <n v="0"/>
    <n v="0"/>
    <n v="633.16999999999996"/>
    <n v="840.67"/>
    <n v="766.03"/>
    <n v="4855.390000000000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NCI"/>
    <s v="AX1"/>
    <m/>
    <s v="B"/>
    <s v="S"/>
    <s v="73D6H"/>
    <n v="1634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NCI)-SGSIN-(CSW)-KRPUS-(AX1)"/>
    <s v="75D12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3.85"/>
    <n v="910.76"/>
    <n v="836.11"/>
    <n v="4927.79"/>
    <n v="0"/>
    <n v="0"/>
    <n v="683.85"/>
    <n v="910.76"/>
    <n v="836.11"/>
    <n v="4927.7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NCI"/>
    <s v="AX1"/>
    <m/>
    <s v="B"/>
    <s v="S"/>
    <s v="73D6H"/>
    <n v="1634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CI2)-CNSHA-(AX1)"/>
    <s v="67D21H"/>
    <n v="2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1.69"/>
    <n v="629.28"/>
    <n v="555.33000000000004"/>
    <n v="4647.2"/>
    <n v="0"/>
    <n v="0"/>
    <n v="441.69"/>
    <n v="629.28"/>
    <n v="555.33000000000004"/>
    <n v="4647.2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CI2"/>
    <s v="AX1"/>
    <m/>
    <m/>
    <s v="S"/>
    <s v="66D9H"/>
    <n v="1515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24.61460144"/>
    <n v="178.63640214"/>
    <n v="179.32640214"/>
    <n v="118.342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TIP)-SGSIN-(NX2)-KRPUS-(AX1)"/>
    <s v="66D2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48"/>
    <n v="824.64"/>
    <n v="749.99"/>
    <n v="4846.59"/>
    <n v="0"/>
    <n v="0"/>
    <n v="622.48"/>
    <n v="824.64"/>
    <n v="749.99"/>
    <n v="4846.5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TIP"/>
    <s v="AX1"/>
    <m/>
    <s v="B"/>
    <s v="S"/>
    <s v="63D20H"/>
    <n v="1445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MD3)-KRPUS-(AX1)"/>
    <s v="73D2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48"/>
    <n v="824.64"/>
    <n v="749.99"/>
    <n v="4846.59"/>
    <n v="0"/>
    <n v="0"/>
    <n v="622.48"/>
    <n v="824.64"/>
    <n v="749.99"/>
    <n v="4846.5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TIP"/>
    <s v="AX1"/>
    <m/>
    <s v="B"/>
    <s v="S"/>
    <s v="70D20H"/>
    <n v="1613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MD3)-KRPUS-(AX1)"/>
    <s v="64D3H"/>
    <n v="2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8.28"/>
    <n v="729.84"/>
    <n v="655.20000000000005"/>
    <n v="4815.3"/>
    <n v="0"/>
    <n v="0"/>
    <n v="558.28"/>
    <n v="729.84"/>
    <n v="655.20000000000005"/>
    <n v="4815.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TIP"/>
    <s v="AX1"/>
    <m/>
    <m/>
    <s v="S"/>
    <s v="62D15H"/>
    <n v="1470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NCI)-SGSIN-(AR1)-KRPUS-(AX1)"/>
    <s v="68D12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3.16999999999996"/>
    <n v="840.67"/>
    <n v="766.03"/>
    <n v="4855.3900000000003"/>
    <n v="0"/>
    <n v="0"/>
    <n v="633.16999999999996"/>
    <n v="840.67"/>
    <n v="766.03"/>
    <n v="4855.390000000000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NCI"/>
    <s v="AX1"/>
    <m/>
    <s v="B"/>
    <s v="S"/>
    <s v="66D6H"/>
    <n v="1466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NCI)-SGSIN-(AGX)-KRPUS-(AX1)"/>
    <s v="82D12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3.16999999999996"/>
    <n v="840.67"/>
    <n v="766.03"/>
    <n v="4855.3900000000003"/>
    <n v="0"/>
    <n v="0"/>
    <n v="633.16999999999996"/>
    <n v="840.67"/>
    <n v="766.03"/>
    <n v="4855.3900000000003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NCI"/>
    <s v="AX1"/>
    <m/>
    <s v="B"/>
    <s v="S"/>
    <s v="80D6H"/>
    <n v="1802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NCI)-SGSIN-(AGX)-KRPUS-(AX1)"/>
    <s v="73D13H"/>
    <n v="2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8.97"/>
    <n v="745.88"/>
    <n v="671.23"/>
    <n v="4824.09"/>
    <n v="0"/>
    <n v="0"/>
    <n v="568.97"/>
    <n v="745.88"/>
    <n v="671.23"/>
    <n v="4824.0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NCI"/>
    <s v="AX1"/>
    <m/>
    <m/>
    <s v="S"/>
    <s v="72D1H"/>
    <n v="1659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CI2)-HKHKG-(AX1)"/>
    <s v="69D20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26.96"/>
    <n v="765.44"/>
    <n v="690.8"/>
    <n v="4819.78"/>
    <n v="0"/>
    <n v="0"/>
    <n v="526.96"/>
    <n v="765.44"/>
    <n v="690.8"/>
    <n v="4819.78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CI2"/>
    <s v="AX1"/>
    <m/>
    <s v="B"/>
    <s v="S"/>
    <s v="67D14H"/>
    <n v="1490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CI2)-HKHKG-(AX1)"/>
    <s v="60D21H"/>
    <n v="1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62.77"/>
    <n v="670.65"/>
    <n v="596"/>
    <n v="4788.4799999999996"/>
    <n v="0"/>
    <n v="0"/>
    <n v="462.77"/>
    <n v="670.65"/>
    <n v="596"/>
    <n v="4788.4799999999996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3.93"/>
    <n v="698.08"/>
    <n v="698.08"/>
    <n v="0"/>
    <n v="0"/>
    <n v="0"/>
    <m/>
    <m/>
    <m/>
    <m/>
    <m/>
    <m/>
    <m/>
    <m/>
    <m/>
    <m/>
    <m/>
    <m/>
    <s v="CI2"/>
    <s v="AX1"/>
    <m/>
    <m/>
    <s v="S"/>
    <s v="59D9H"/>
    <n v="1347"/>
    <s v="2018-09-29"/>
    <s v="Historical averaged cost."/>
    <n v="68.577250000000006"/>
    <n v="102.86837"/>
    <n v="102.86837"/>
    <n v="139.69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1"/>
    <x v="11"/>
    <x v="11"/>
    <x v="0"/>
    <x v="0"/>
    <x v="0"/>
    <m/>
    <m/>
    <m/>
    <m/>
    <m/>
    <m/>
  </r>
  <r>
    <s v="LW"/>
    <s v="LWE"/>
    <s v="LWT"/>
    <s v="LW"/>
    <s v="AX1"/>
    <s v="E"/>
    <s v="(PS3)-SGSIN-(MD2)-KRPUS-(AX1)"/>
    <s v="69D13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48"/>
    <n v="824.64"/>
    <n v="749.99"/>
    <n v="4846.59"/>
    <n v="0"/>
    <n v="0"/>
    <n v="622.48"/>
    <n v="824.64"/>
    <n v="749.99"/>
    <n v="4846.5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PS3"/>
    <s v="AX1"/>
    <m/>
    <s v="B"/>
    <s v="S"/>
    <s v="67D7H"/>
    <n v="1524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AGX)-KRPUS-(AX1)"/>
    <s v="57D3H"/>
    <n v="2"/>
    <s v="DR"/>
    <s v="D"/>
    <s v="Y"/>
    <s v="Y"/>
    <x v="16"/>
    <s v="NHAVA SHEVA"/>
    <x v="0"/>
    <s v="NHAVA SHEVA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8.08000000000004"/>
    <n v="848.4"/>
    <n v="767.49"/>
    <n v="4999.41"/>
    <n v="0"/>
    <n v="0"/>
    <n v="638.08000000000004"/>
    <n v="848.4"/>
    <n v="767.49"/>
    <n v="4999.41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TIP"/>
    <s v="AX1"/>
    <m/>
    <m/>
    <s v="S"/>
    <s v="55D15H"/>
    <n v="1302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AGX)-KRPUS-(AX1)"/>
    <s v="66D2H"/>
    <n v="2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2.48"/>
    <n v="824.64"/>
    <n v="749.99"/>
    <n v="4846.59"/>
    <n v="0"/>
    <n v="0"/>
    <n v="622.48"/>
    <n v="824.64"/>
    <n v="749.99"/>
    <n v="4846.5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TIP"/>
    <s v="AX1"/>
    <m/>
    <s v="B"/>
    <s v="S"/>
    <s v="63D20H"/>
    <n v="1445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TIP)-SGSIN-(CSW)-KRPUS-(AX1)"/>
    <s v="66D2H"/>
    <n v="1"/>
    <s v="DR"/>
    <s v="D"/>
    <s v="Y"/>
    <s v="Y"/>
    <x v="16"/>
    <s v="NHAVA SHEVA"/>
    <x v="0"/>
    <s v="NHAVA SHEVA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3.16"/>
    <n v="894.72"/>
    <n v="820.08"/>
    <n v="4918.99"/>
    <n v="0"/>
    <n v="0"/>
    <n v="673.16"/>
    <n v="894.72"/>
    <n v="820.08"/>
    <n v="4918.99"/>
    <n v="0"/>
    <n v="0"/>
    <s v="INNSA"/>
    <n v="39.14"/>
    <n v="16.486672984999998"/>
    <n v="-67.73"/>
    <n v="4015.506020588"/>
    <n v="0"/>
    <n v="0"/>
    <n v="39.14"/>
    <n v="16.486672984999998"/>
    <n v="-67.73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3.62"/>
    <n v="668.21"/>
    <n v="668.21"/>
    <n v="0"/>
    <n v="0"/>
    <n v="0"/>
    <m/>
    <m/>
    <m/>
    <m/>
    <m/>
    <m/>
    <m/>
    <m/>
    <m/>
    <m/>
    <m/>
    <m/>
    <s v="TIP"/>
    <s v="AX1"/>
    <m/>
    <s v="B"/>
    <s v="S"/>
    <s v="63D20H"/>
    <n v="1445"/>
    <s v="2018-09-29"/>
    <s v="Historical averaged cost."/>
    <n v="57.887189999999997"/>
    <n v="86.832790000000003"/>
    <n v="86.832790000000003"/>
    <n v="130.89599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7357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0"/>
    <x v="10"/>
    <x v="10"/>
    <x v="0"/>
    <x v="0"/>
    <x v="0"/>
    <m/>
    <m/>
    <m/>
    <m/>
    <m/>
    <m/>
  </r>
  <r>
    <s v="LW"/>
    <s v="LWE"/>
    <s v="LWT"/>
    <s v="LW"/>
    <s v="AX1"/>
    <s v="E"/>
    <s v="(EC1)-KRPUS-(AX1)"/>
    <s v="44D6H"/>
    <n v="3"/>
    <s v="DR"/>
    <s v="D"/>
    <s v="Y"/>
    <s v="Y"/>
    <x v="17"/>
    <s v="NINGBO, ZHEJIA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9.51"/>
    <n v="1027.8800000000001"/>
    <n v="1012.34"/>
    <n v="1106.4000000000001"/>
    <n v="0"/>
    <n v="0"/>
    <n v="669.51"/>
    <n v="1027.8800000000001"/>
    <n v="1012.34"/>
    <n v="1106.4000000000001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EC1"/>
    <s v="AX1"/>
    <m/>
    <s v="B"/>
    <s v="T"/>
    <s v="42D0H"/>
    <n v="922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2)-KRPUS-(AX1)"/>
    <s v="46D6H"/>
    <n v="3"/>
    <s v="DR"/>
    <s v="D"/>
    <s v="Y"/>
    <s v="Y"/>
    <x v="17"/>
    <s v="NINGBO, ZHEJIA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2.99"/>
    <n v="1102.1300000000001"/>
    <n v="1086.3699999999999"/>
    <n v="1185.26"/>
    <n v="0"/>
    <n v="0"/>
    <n v="722.99"/>
    <n v="1102.1300000000001"/>
    <n v="1086.3699999999999"/>
    <n v="1185.26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2"/>
    <s v="AX1"/>
    <m/>
    <s v="B"/>
    <s v="T"/>
    <s v="44D0H"/>
    <n v="971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1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3)-KRPUS-(AX1)"/>
    <s v="45D7H"/>
    <n v="3"/>
    <s v="DR"/>
    <s v="D"/>
    <s v="Y"/>
    <s v="Y"/>
    <x v="17"/>
    <s v="NINGBO, ZHEJIA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6.71"/>
    <n v="935.17"/>
    <n v="919.52"/>
    <n v="1078.33"/>
    <n v="0"/>
    <n v="0"/>
    <n v="606.71"/>
    <n v="935.17"/>
    <n v="919.52"/>
    <n v="1078.33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3"/>
    <s v="AX1"/>
    <m/>
    <m/>
    <s v="T"/>
    <s v="43D19H"/>
    <n v="1006"/>
    <s v="2018-09-29"/>
    <m/>
    <n v="77.872309999999999"/>
    <n v="119.14984"/>
    <n v="119.14984"/>
    <n v="174.16041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1)"/>
    <s v="43D6H"/>
    <n v="1"/>
    <s v="DR"/>
    <s v="D"/>
    <s v="Y"/>
    <s v="Y"/>
    <x v="17"/>
    <s v="NINGBO, ZHEJIA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4.44000000000005"/>
    <n v="878.8"/>
    <n v="863.37"/>
    <n v="956.17"/>
    <n v="0"/>
    <n v="0"/>
    <n v="564.44000000000005"/>
    <n v="878.8"/>
    <n v="863.37"/>
    <n v="956.17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1"/>
    <s v="AX1"/>
    <m/>
    <s v="B"/>
    <s v="S"/>
    <s v="41D0H"/>
    <n v="876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1)-KRPUS-(AX1)"/>
    <s v="41D7H"/>
    <n v="3"/>
    <s v="DR"/>
    <s v="D"/>
    <s v="Y"/>
    <s v="Y"/>
    <x v="17"/>
    <s v="NINGBO, ZHEJIA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1.11"/>
    <n v="926.85"/>
    <n v="911.64"/>
    <n v="1065.4100000000001"/>
    <n v="0"/>
    <n v="0"/>
    <n v="601.11"/>
    <n v="926.85"/>
    <n v="911.64"/>
    <n v="1065.4100000000001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1"/>
    <s v="AX1"/>
    <m/>
    <m/>
    <s v="T"/>
    <s v="39D19H"/>
    <n v="901"/>
    <s v="2018-09-29"/>
    <m/>
    <n v="77.872309999999999"/>
    <n v="119.14984"/>
    <n v="119.14984"/>
    <n v="174.16041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1)-KRPUS-(AX1)"/>
    <s v="50D6H"/>
    <n v="3"/>
    <s v="DR"/>
    <s v="D"/>
    <s v="Y"/>
    <s v="Y"/>
    <x v="17"/>
    <s v="NINGBO, ZHEJIA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7.91"/>
    <n v="1040.3599999999999"/>
    <n v="1024.1600000000001"/>
    <n v="1125.78"/>
    <n v="0"/>
    <n v="0"/>
    <n v="677.91"/>
    <n v="1040.3599999999999"/>
    <n v="1024.1600000000001"/>
    <n v="1125.78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1"/>
    <s v="AX1"/>
    <m/>
    <s v="B"/>
    <s v="T"/>
    <s v="48D0H"/>
    <n v="1044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1)"/>
    <s v="34D7H"/>
    <n v="1"/>
    <s v="DR"/>
    <s v="D"/>
    <s v="Y"/>
    <s v="Y"/>
    <x v="17"/>
    <s v="NINGBO, ZHEJIA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7.65"/>
    <n v="765.29"/>
    <n v="750.85"/>
    <n v="895.8"/>
    <n v="0"/>
    <n v="0"/>
    <n v="487.65"/>
    <n v="765.29"/>
    <n v="750.85"/>
    <n v="895.8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1"/>
    <s v="AX1"/>
    <m/>
    <m/>
    <s v="S"/>
    <s v="32D19H"/>
    <n v="733"/>
    <s v="2018-09-29"/>
    <m/>
    <n v="77.872309999999999"/>
    <n v="119.14984"/>
    <n v="119.14984"/>
    <n v="174.16041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6"/>
    <n v="70.72"/>
    <n v="66.98"/>
    <n v="109.8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2)-KRPUS-(AX1)"/>
    <s v="37D7H"/>
    <n v="3"/>
    <s v="DR"/>
    <s v="D"/>
    <s v="Y"/>
    <s v="Y"/>
    <x v="17"/>
    <s v="NINGBO, ZHEJIA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6.19000000000005"/>
    <n v="988.61"/>
    <n v="973.84"/>
    <n v="1124.8900000000001"/>
    <n v="0"/>
    <n v="0"/>
    <n v="646.19000000000005"/>
    <n v="988.61"/>
    <n v="973.84"/>
    <n v="1124.8900000000001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2"/>
    <s v="AX1"/>
    <m/>
    <m/>
    <s v="T"/>
    <s v="35D19H"/>
    <n v="828"/>
    <s v="2018-09-29"/>
    <m/>
    <n v="77.872309999999999"/>
    <n v="119.14984"/>
    <n v="119.14984"/>
    <n v="174.16041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AX3)-KRPUS-(AX1)"/>
    <s v="54D6H"/>
    <n v="3"/>
    <s v="DR"/>
    <s v="D"/>
    <s v="Y"/>
    <s v="Y"/>
    <x v="17"/>
    <s v="NINGBO, ZHEJIANG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3.51"/>
    <n v="1048.68"/>
    <n v="1032.04"/>
    <n v="1138.7"/>
    <n v="0"/>
    <n v="0"/>
    <n v="683.51"/>
    <n v="1048.68"/>
    <n v="1032.04"/>
    <n v="1138.7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AX3"/>
    <s v="AX1"/>
    <m/>
    <s v="B"/>
    <s v="T"/>
    <s v="52D0H"/>
    <n v="1149"/>
    <s v="2018-09-29"/>
    <s v="Historical averaged cost."/>
    <n v="77.872309999999999"/>
    <n v="119.14984"/>
    <n v="119.14984"/>
    <n v="174.16041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EC1)-KRPUS-(AX1)"/>
    <s v="35D7H"/>
    <n v="3"/>
    <s v="DR"/>
    <s v="D"/>
    <s v="Y"/>
    <s v="Y"/>
    <x v="17"/>
    <s v="NINGBO, ZHEJIANG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2.71"/>
    <n v="914.37"/>
    <n v="899.82"/>
    <n v="1046.03"/>
    <n v="0"/>
    <n v="0"/>
    <n v="592.71"/>
    <n v="914.37"/>
    <n v="899.82"/>
    <n v="1046.03"/>
    <n v="0"/>
    <n v="0"/>
    <s v="CNNGB"/>
    <n v="152.81954885299999"/>
    <n v="244.125617025"/>
    <n v="223.85559773099999"/>
    <n v="238.15761429299999"/>
    <n v="0"/>
    <n v="0"/>
    <n v="152.81954885299999"/>
    <n v="244.125617025"/>
    <n v="223.85559773099999"/>
    <n v="238.157614292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94"/>
    <n v="673.44"/>
    <n v="673.44"/>
    <n v="0"/>
    <n v="0"/>
    <n v="0"/>
    <m/>
    <m/>
    <m/>
    <m/>
    <m/>
    <m/>
    <m/>
    <m/>
    <m/>
    <m/>
    <m/>
    <m/>
    <s v="EC1"/>
    <s v="AX1"/>
    <m/>
    <m/>
    <s v="T"/>
    <s v="33D19H"/>
    <n v="779"/>
    <s v="2018-09-29"/>
    <m/>
    <n v="77.872309999999999"/>
    <n v="119.14984"/>
    <n v="119.14984"/>
    <n v="174.16041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0894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2"/>
    <x v="12"/>
    <x v="12"/>
    <x v="0"/>
    <x v="0"/>
    <x v="0"/>
    <m/>
    <m/>
    <m/>
    <m/>
    <m/>
    <m/>
  </r>
  <r>
    <s v="LW"/>
    <s v="LWE"/>
    <s v="LWT"/>
    <s v="LW"/>
    <s v="AX1"/>
    <s v="E"/>
    <s v="(9SQ)-SGSIN-(CSW)-KRPUS-(AX1)"/>
    <s v="61D6H"/>
    <n v="1"/>
    <s v="DR"/>
    <s v="D"/>
    <s v="Y"/>
    <s v="Y"/>
    <x v="46"/>
    <s v="PASIR GUDANG"/>
    <x v="29"/>
    <s v="PASIR GUD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6.82"/>
    <n v="1321.79"/>
    <n v="1003.46"/>
    <n v="1294.4000000000001"/>
    <n v="0"/>
    <n v="0"/>
    <n v="806.82"/>
    <n v="1321.79"/>
    <n v="1003.46"/>
    <n v="1294.4000000000001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9SQ"/>
    <s v="AX1"/>
    <m/>
    <s v="B"/>
    <s v="S"/>
    <s v="59D0H"/>
    <n v="1349"/>
    <s v="2018-09-29"/>
    <s v="Historical averaged cost."/>
    <n v="2.64"/>
    <n v="2.64"/>
    <n v="2.64"/>
    <n v="2.6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28.11596857000001"/>
    <n v="290.85798686999999"/>
    <n v="290.85798686999999"/>
    <n v="293.16998487000001"/>
    <n v="0"/>
    <n v="0"/>
    <n v="125"/>
    <n v="225"/>
    <n v="225"/>
    <n v="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03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9SQ)-SGSIN-(MD2)-KRPUS-(AX1)"/>
    <s v="52D7H"/>
    <n v="1"/>
    <s v="DR"/>
    <s v="D"/>
    <s v="Y"/>
    <s v="Y"/>
    <x v="46"/>
    <s v="PASIR GUDANG"/>
    <x v="29"/>
    <s v="PASIR GUD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4.74"/>
    <n v="1265.07"/>
    <n v="941.02"/>
    <n v="1358.66"/>
    <n v="0"/>
    <n v="0"/>
    <n v="764.74"/>
    <n v="1265.07"/>
    <n v="941.02"/>
    <n v="1358.66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9SQ"/>
    <s v="AX1"/>
    <m/>
    <m/>
    <s v="S"/>
    <s v="50D19H"/>
    <n v="1206"/>
    <s v="2018-09-29"/>
    <m/>
    <n v="2.64"/>
    <n v="2.64"/>
    <n v="2.64"/>
    <n v="2.6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03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9SQ)-SGSIN-(AGX)-KRPUS-(AX1)"/>
    <s v="53D18H"/>
    <n v="1"/>
    <s v="DR"/>
    <s v="D"/>
    <s v="Y"/>
    <s v="D"/>
    <x v="46"/>
    <s v="PASIR GUDANG"/>
    <x v="29"/>
    <s v="PASIR GUD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8.54"/>
    <n v="1270.23"/>
    <n v="945.96"/>
    <n v="1366.12"/>
    <n v="0"/>
    <n v="0"/>
    <n v="768.54"/>
    <n v="1270.23"/>
    <n v="945.96"/>
    <n v="1366.12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9SQ"/>
    <s v="AX1"/>
    <m/>
    <s v="T"/>
    <s v="S"/>
    <s v="52D16H"/>
    <n v="1206"/>
    <s v="2018-09-29"/>
    <s v="Historical averaged cost."/>
    <n v="2.64"/>
    <n v="2.64"/>
    <n v="2.64"/>
    <n v="2.6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9414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9SQ)-SGSIN-(MD3)-KRPUS-(AX1)"/>
    <s v="61D6H"/>
    <n v="2"/>
    <s v="DR"/>
    <s v="D"/>
    <s v="Y"/>
    <s v="Y"/>
    <x v="46"/>
    <s v="PASIR GUDANG"/>
    <x v="29"/>
    <s v="PASIR GUD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6.14"/>
    <n v="1251.71"/>
    <n v="933.38"/>
    <n v="1222"/>
    <n v="0"/>
    <n v="0"/>
    <n v="756.14"/>
    <n v="1251.71"/>
    <n v="933.38"/>
    <n v="1222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9SQ"/>
    <s v="AX1"/>
    <m/>
    <s v="B"/>
    <s v="S"/>
    <s v="59D0H"/>
    <n v="1349"/>
    <s v="2018-09-29"/>
    <s v="Historical averaged cost."/>
    <n v="2.64"/>
    <n v="2.64"/>
    <n v="2.64"/>
    <n v="2.6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03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9SQ)-SGSIN-(AGX)-KRPUS-(AX1)"/>
    <s v="59D7H"/>
    <n v="1"/>
    <s v="DR"/>
    <s v="D"/>
    <s v="Y"/>
    <s v="Y"/>
    <x v="46"/>
    <s v="PASIR GUDANG"/>
    <x v="29"/>
    <s v="PASIR GUD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4.54"/>
    <n v="1279.6300000000001"/>
    <n v="954.81"/>
    <n v="1381.27"/>
    <n v="0"/>
    <n v="0"/>
    <n v="774.54"/>
    <n v="1279.6300000000001"/>
    <n v="954.81"/>
    <n v="1381.27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9SQ"/>
    <s v="AX1"/>
    <m/>
    <m/>
    <s v="S"/>
    <s v="57D19H"/>
    <n v="1374"/>
    <s v="2018-09-29"/>
    <m/>
    <n v="2.64"/>
    <n v="2.64"/>
    <n v="2.64"/>
    <n v="2.6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03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9SQ)-SGSIN-(NX2)-KRPUS-(AX1)"/>
    <s v="54D6H"/>
    <n v="2"/>
    <s v="DR"/>
    <s v="D"/>
    <s v="Y"/>
    <s v="Y"/>
    <x v="46"/>
    <s v="PASIR GUDANG"/>
    <x v="29"/>
    <s v="PASIR GUD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1.74"/>
    <n v="1364.03"/>
    <n v="1039.76"/>
    <n v="1396.42"/>
    <n v="0"/>
    <n v="0"/>
    <n v="831.74"/>
    <n v="1364.03"/>
    <n v="1039.76"/>
    <n v="1396.42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9SQ"/>
    <s v="AX1"/>
    <m/>
    <s v="B"/>
    <s v="S"/>
    <s v="52D0H"/>
    <n v="1181"/>
    <s v="2018-09-29"/>
    <s v="Historical averaged cost."/>
    <n v="2.64"/>
    <n v="2.64"/>
    <n v="2.64"/>
    <n v="2.6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03000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9SQ)-SGSIN-(MD2)-KRPUS-(AX1)"/>
    <s v="53D18H"/>
    <n v="1"/>
    <s v="DR"/>
    <s v="D"/>
    <s v="Y"/>
    <s v="D"/>
    <x v="46"/>
    <s v="PASIR GUDANG"/>
    <x v="29"/>
    <s v="PASIR GUD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8.54"/>
    <n v="1270.23"/>
    <n v="945.96"/>
    <n v="1366.12"/>
    <n v="0"/>
    <n v="0"/>
    <n v="768.54"/>
    <n v="1270.23"/>
    <n v="945.96"/>
    <n v="1366.12"/>
    <n v="0"/>
    <n v="0"/>
    <s v="MYPGU"/>
    <n v="177.51077741399999"/>
    <n v="377.20770897"/>
    <n v="49.306560841"/>
    <n v="358.62917700100002"/>
    <n v="0"/>
    <n v="0"/>
    <n v="177.51077741399999"/>
    <n v="377.20770897"/>
    <n v="49.306560841"/>
    <n v="358.62917700100002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9SQ"/>
    <s v="AX1"/>
    <m/>
    <s v="T"/>
    <s v="S"/>
    <s v="52D16H"/>
    <n v="1206"/>
    <s v="2018-09-29"/>
    <s v="Historical averaged cost."/>
    <n v="2.64"/>
    <n v="2.64"/>
    <n v="2.64"/>
    <n v="2.6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1"/>
    <n v="1"/>
    <n v="1"/>
    <n v="1"/>
    <n v="0"/>
    <n v="0"/>
    <n v="177.43721156999999"/>
    <n v="220.77128017000001"/>
    <n v="220.77128017000001"/>
    <n v="220.77128017000001"/>
    <n v="0"/>
    <n v="0"/>
    <n v="125"/>
    <n v="225"/>
    <n v="225"/>
    <n v="235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9414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KME)-KRPUS-(AX1)"/>
    <s v="61D22H"/>
    <n v="1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2.31"/>
    <n v="1204.29"/>
    <n v="1242.44"/>
    <n v="1161.07"/>
    <n v="0"/>
    <n v="0"/>
    <n v="772.31"/>
    <n v="1204.29"/>
    <n v="1242.44"/>
    <n v="1161.0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s v="B"/>
    <s v="S"/>
    <s v="59D16H"/>
    <n v="1318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6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KME)-KRPUS-(AX1)"/>
    <s v="52D23H"/>
    <n v="2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2.31"/>
    <n v="1219.73"/>
    <n v="1252.06"/>
    <n v="1300.97"/>
    <n v="0"/>
    <n v="0"/>
    <n v="782.31"/>
    <n v="1219.73"/>
    <n v="1252.06"/>
    <n v="1300.9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m/>
    <s v="S"/>
    <s v="51D11H"/>
    <n v="1175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74.2"/>
    <n v="110.24"/>
    <n v="104.41"/>
    <n v="171.1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8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CSW)-KRPUS-(AX1)"/>
    <s v="61D22H"/>
    <n v="1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9.06"/>
    <n v="1197.1500000000001"/>
    <n v="1235.3"/>
    <n v="1148.3699999999999"/>
    <n v="0"/>
    <n v="0"/>
    <n v="769.06"/>
    <n v="1197.1500000000001"/>
    <n v="1235.3"/>
    <n v="1148.3699999999999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s v="B"/>
    <s v="S"/>
    <s v="59D16H"/>
    <n v="1318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2)-KRPUS-(AX1)"/>
    <s v="61D22H"/>
    <n v="1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38"/>
    <n v="1127.06"/>
    <n v="1165.21"/>
    <n v="1075.97"/>
    <n v="0"/>
    <n v="0"/>
    <n v="718.38"/>
    <n v="1127.06"/>
    <n v="1165.21"/>
    <n v="1075.9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s v="B"/>
    <s v="S"/>
    <s v="59D16H"/>
    <n v="1318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AGX)-KRPUS-(AX1)"/>
    <s v="58D7H"/>
    <n v="2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5.38"/>
    <n v="1152.9000000000001"/>
    <n v="1184.68"/>
    <n v="1232.01"/>
    <n v="0"/>
    <n v="0"/>
    <n v="735.38"/>
    <n v="1152.9000000000001"/>
    <n v="1184.68"/>
    <n v="1232.0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1"/>
    <s v="AX1"/>
    <m/>
    <m/>
    <s v="S"/>
    <s v="56D19H"/>
    <n v="1333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NX2)-KRPUS-(AX1)"/>
    <s v="54D22H"/>
    <n v="1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5.38"/>
    <n v="1241.46"/>
    <n v="1273.56"/>
    <n v="1253.6199999999999"/>
    <n v="0"/>
    <n v="0"/>
    <n v="795.38"/>
    <n v="1241.46"/>
    <n v="1273.56"/>
    <n v="1253.6199999999999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s v="B"/>
    <s v="S"/>
    <s v="52D16H"/>
    <n v="1150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0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NX2)-KRPUS-(AX1)"/>
    <s v="45D23H"/>
    <n v="2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58"/>
    <n v="1127.94"/>
    <n v="1161.04"/>
    <n v="1193.25"/>
    <n v="0"/>
    <n v="0"/>
    <n v="718.58"/>
    <n v="1127.94"/>
    <n v="1161.04"/>
    <n v="1193.25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m/>
    <s v="S"/>
    <s v="44D11H"/>
    <n v="1007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6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3)-KRPUS-(AX1)"/>
    <s v="59D23H"/>
    <n v="2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8.18"/>
    <n v="1157.06"/>
    <n v="1188.6199999999999"/>
    <n v="1238.47"/>
    <n v="0"/>
    <n v="0"/>
    <n v="738.18"/>
    <n v="1157.06"/>
    <n v="1188.6199999999999"/>
    <n v="1238.4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m/>
    <s v="S"/>
    <s v="58D11H"/>
    <n v="1343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KME)-KRPUS-(AX1)"/>
    <s v="51D7H"/>
    <n v="2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9.51"/>
    <n v="1215.57"/>
    <n v="1248.1199999999999"/>
    <n v="1294.51"/>
    <n v="0"/>
    <n v="0"/>
    <n v="779.51"/>
    <n v="1215.57"/>
    <n v="1248.1199999999999"/>
    <n v="1294.5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1"/>
    <s v="AX1"/>
    <m/>
    <m/>
    <s v="S"/>
    <s v="49D19H"/>
    <n v="1165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05.82737914000001"/>
    <n v="372.45939343999999"/>
    <n v="372.45939343999999"/>
    <n v="380.33352509000002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7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AGX)-KRPUS-(AX1)"/>
    <s v="68D22H"/>
    <n v="1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38"/>
    <n v="1127.06"/>
    <n v="1165.21"/>
    <n v="1075.97"/>
    <n v="0"/>
    <n v="0"/>
    <n v="718.38"/>
    <n v="1127.06"/>
    <n v="1165.21"/>
    <n v="1075.9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s v="B"/>
    <s v="S"/>
    <s v="66D16H"/>
    <n v="1486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AGX)-KRPUS-(AX1)"/>
    <s v="59D23H"/>
    <n v="2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8.18"/>
    <n v="1157.06"/>
    <n v="1188.6199999999999"/>
    <n v="1238.47"/>
    <n v="0"/>
    <n v="0"/>
    <n v="738.18"/>
    <n v="1157.06"/>
    <n v="1188.6199999999999"/>
    <n v="1238.4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m/>
    <s v="S"/>
    <s v="58D11H"/>
    <n v="1343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4"/>
    <n v="124.8"/>
    <n v="118.2"/>
    <n v="193.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MD2)-KRPUS-(AX1)"/>
    <s v="60D6H"/>
    <n v="2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38"/>
    <n v="1127.06"/>
    <n v="1165.21"/>
    <n v="1075.97"/>
    <n v="0"/>
    <n v="0"/>
    <n v="718.38"/>
    <n v="1127.06"/>
    <n v="1165.21"/>
    <n v="1075.9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1"/>
    <s v="AX1"/>
    <m/>
    <s v="B"/>
    <s v="S"/>
    <s v="58D0H"/>
    <n v="1308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7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MD3)-KRPUS-(AX1)"/>
    <s v="58D7H"/>
    <n v="1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5.38"/>
    <n v="1152.9000000000001"/>
    <n v="1184.68"/>
    <n v="1232.01"/>
    <n v="0"/>
    <n v="0"/>
    <n v="735.38"/>
    <n v="1152.9000000000001"/>
    <n v="1184.68"/>
    <n v="1232.0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1"/>
    <s v="AX1"/>
    <m/>
    <m/>
    <s v="S"/>
    <s v="56D19H"/>
    <n v="1333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MD3)-KRPUS-(AX1)"/>
    <s v="67D6H"/>
    <n v="1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38"/>
    <n v="1127.06"/>
    <n v="1165.21"/>
    <n v="1075.97"/>
    <n v="0"/>
    <n v="0"/>
    <n v="718.38"/>
    <n v="1127.06"/>
    <n v="1165.21"/>
    <n v="1075.9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1"/>
    <s v="AX1"/>
    <m/>
    <s v="B"/>
    <s v="S"/>
    <s v="65D0H"/>
    <n v="1476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5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2)-SGSIN-(MD3)-KRPUS-(AX1)"/>
    <s v="68D22H"/>
    <n v="1"/>
    <s v="DR"/>
    <s v="D"/>
    <s v="Y"/>
    <s v="Y"/>
    <x v="18"/>
    <s v="PENANG"/>
    <x v="16"/>
    <s v="PEN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38"/>
    <n v="1127.06"/>
    <n v="1165.21"/>
    <n v="1075.97"/>
    <n v="0"/>
    <n v="0"/>
    <n v="718.38"/>
    <n v="1127.06"/>
    <n v="1165.21"/>
    <n v="1075.97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2"/>
    <s v="AX1"/>
    <m/>
    <s v="B"/>
    <s v="S"/>
    <s v="66D16H"/>
    <n v="1486"/>
    <s v="2018-09-29"/>
    <s v="Historical averaged cost."/>
    <n v="54.019570000000002"/>
    <n v="81.029359999999997"/>
    <n v="81.029359999999997"/>
    <n v="81.0293599999999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1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AR1)-KRPUS-(AX1)"/>
    <s v="51D7H"/>
    <n v="2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5.58"/>
    <n v="1138.3399999999999"/>
    <n v="1170.8900000000001"/>
    <n v="1209.4000000000001"/>
    <n v="0"/>
    <n v="0"/>
    <n v="725.58"/>
    <n v="1138.3399999999999"/>
    <n v="1170.8900000000001"/>
    <n v="1209.4000000000001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1"/>
    <s v="AX1"/>
    <m/>
    <m/>
    <s v="S"/>
    <s v="49D19H"/>
    <n v="1165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9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PF1)-SGSIN-(NX2)-KRPUS-(AX1)"/>
    <s v="44D7H"/>
    <n v="1"/>
    <s v="DR"/>
    <s v="D"/>
    <s v="Y"/>
    <s v="Y"/>
    <x v="18"/>
    <s v="PENANG"/>
    <x v="16"/>
    <s v="PEN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5.78"/>
    <n v="1123.78"/>
    <n v="1157.0999999999999"/>
    <n v="1186.79"/>
    <n v="0"/>
    <n v="0"/>
    <n v="715.78"/>
    <n v="1123.78"/>
    <n v="1157.0999999999999"/>
    <n v="1186.79"/>
    <n v="0"/>
    <n v="0"/>
    <s v="MYPEN"/>
    <n v="138.91055575999999"/>
    <n v="324.711146042"/>
    <n v="353.29507201400003"/>
    <n v="294.74975112800001"/>
    <n v="0"/>
    <n v="0"/>
    <n v="138.91055575999999"/>
    <n v="324.711146042"/>
    <n v="353.29507201400003"/>
    <n v="294.749751128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PF1"/>
    <s v="AX1"/>
    <m/>
    <m/>
    <s v="S"/>
    <s v="42D19H"/>
    <n v="997"/>
    <s v="2018-09-29"/>
    <m/>
    <n v="54.019570000000002"/>
    <n v="81.029359999999997"/>
    <n v="81.029359999999997"/>
    <n v="81.0293599999999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1552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TIP)-SGSIN-(AGX)-KRPUS-(AX1)"/>
    <s v="79D15H"/>
    <n v="2"/>
    <s v="DR"/>
    <s v="D"/>
    <s v="Y"/>
    <s v="Y"/>
    <x v="19"/>
    <s v="PIPAVAV"/>
    <x v="5"/>
    <s v="PIPAVAV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6"/>
    <n v="888.06"/>
    <n v="968.27"/>
    <n v="4719.1400000000003"/>
    <n v="0"/>
    <n v="0"/>
    <n v="621.6"/>
    <n v="888.06"/>
    <n v="968.27"/>
    <n v="4719.1400000000003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7.54"/>
    <n v="668.93"/>
    <n v="668.93"/>
    <n v="0"/>
    <n v="0"/>
    <n v="0"/>
    <m/>
    <m/>
    <m/>
    <m/>
    <m/>
    <m/>
    <m/>
    <m/>
    <m/>
    <m/>
    <m/>
    <m/>
    <s v="TIP"/>
    <s v="AX1"/>
    <m/>
    <s v="B"/>
    <s v="S"/>
    <s v="77D9H"/>
    <n v="1777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93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4"/>
    <x v="14"/>
    <x v="14"/>
    <x v="0"/>
    <x v="0"/>
    <x v="0"/>
    <m/>
    <m/>
    <m/>
    <m/>
    <m/>
    <m/>
  </r>
  <r>
    <s v="LW"/>
    <s v="LWE"/>
    <s v="LWT"/>
    <s v="LW"/>
    <s v="AX1"/>
    <s v="E"/>
    <s v="(TIP)-SGSIN-(AGX)-KRPUS-(AX1)"/>
    <s v="70D16H"/>
    <n v="2"/>
    <s v="DR"/>
    <s v="D"/>
    <s v="Y"/>
    <s v="Y"/>
    <x v="19"/>
    <s v="PIPAVAV"/>
    <x v="5"/>
    <s v="PIPAVAV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7.4"/>
    <n v="793.26"/>
    <n v="873.48"/>
    <n v="4687.8500000000004"/>
    <n v="0"/>
    <n v="0"/>
    <n v="557.4"/>
    <n v="793.26"/>
    <n v="873.48"/>
    <n v="4687.8500000000004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7.54"/>
    <n v="668.93"/>
    <n v="668.93"/>
    <n v="0"/>
    <n v="0"/>
    <n v="0"/>
    <m/>
    <m/>
    <m/>
    <m/>
    <m/>
    <m/>
    <m/>
    <m/>
    <m/>
    <m/>
    <m/>
    <m/>
    <s v="TIP"/>
    <s v="AX1"/>
    <m/>
    <m/>
    <s v="S"/>
    <s v="69D4H"/>
    <n v="1634"/>
    <s v="2018-09-29"/>
    <m/>
    <n v="87.296000000000006"/>
    <n v="130.44499999999999"/>
    <n v="130.44499999999999"/>
    <n v="3.4449999999999998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93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4"/>
    <x v="14"/>
    <x v="14"/>
    <x v="0"/>
    <x v="0"/>
    <x v="0"/>
    <m/>
    <m/>
    <m/>
    <m/>
    <m/>
    <m/>
  </r>
  <r>
    <s v="LW"/>
    <s v="LWE"/>
    <s v="LWT"/>
    <s v="LW"/>
    <s v="AX1"/>
    <s v="E"/>
    <s v="(PS3)-SGSIN-(MD3)-KRPUS-(AX1)"/>
    <s v="62D9H"/>
    <n v="2"/>
    <s v="DR"/>
    <s v="D"/>
    <s v="Y"/>
    <s v="Y"/>
    <x v="19"/>
    <s v="PIPAVAV"/>
    <x v="5"/>
    <s v="PIPAVAV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7.4"/>
    <n v="793.26"/>
    <n v="873.48"/>
    <n v="4687.8500000000004"/>
    <n v="0"/>
    <n v="0"/>
    <n v="557.4"/>
    <n v="793.26"/>
    <n v="873.48"/>
    <n v="4687.8500000000004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7.54"/>
    <n v="668.93"/>
    <n v="668.93"/>
    <n v="0"/>
    <n v="0"/>
    <n v="0"/>
    <m/>
    <m/>
    <m/>
    <m/>
    <m/>
    <m/>
    <m/>
    <m/>
    <m/>
    <m/>
    <m/>
    <m/>
    <s v="PS3"/>
    <s v="AX1"/>
    <m/>
    <m/>
    <s v="S"/>
    <s v="60D21H"/>
    <n v="1431"/>
    <s v="2018-09-29"/>
    <m/>
    <n v="87.296000000000006"/>
    <n v="130.44499999999999"/>
    <n v="130.44499999999999"/>
    <n v="3.4449999999999998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93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4"/>
    <x v="14"/>
    <x v="14"/>
    <x v="0"/>
    <x v="0"/>
    <x v="0"/>
    <m/>
    <m/>
    <m/>
    <m/>
    <m/>
    <m/>
  </r>
  <r>
    <s v="LW"/>
    <s v="LWE"/>
    <s v="LWT"/>
    <s v="LW"/>
    <s v="AX1"/>
    <s v="E"/>
    <s v="(TIP)-SGSIN-(CSW)-KRPUS-(AX1)"/>
    <s v="79D15H"/>
    <n v="2"/>
    <s v="DR"/>
    <s v="D"/>
    <s v="Y"/>
    <s v="Y"/>
    <x v="19"/>
    <s v="PIPAVAV"/>
    <x v="5"/>
    <s v="PIPAVAV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2.28"/>
    <n v="958.14"/>
    <n v="1038.3599999999999"/>
    <n v="4791.54"/>
    <n v="0"/>
    <n v="0"/>
    <n v="672.28"/>
    <n v="958.14"/>
    <n v="1038.3599999999999"/>
    <n v="4791.54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7.54"/>
    <n v="668.93"/>
    <n v="668.93"/>
    <n v="0"/>
    <n v="0"/>
    <n v="0"/>
    <m/>
    <m/>
    <m/>
    <m/>
    <m/>
    <m/>
    <m/>
    <m/>
    <m/>
    <m/>
    <m/>
    <m/>
    <s v="TIP"/>
    <s v="AX1"/>
    <m/>
    <s v="B"/>
    <s v="S"/>
    <s v="77D9H"/>
    <n v="1777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93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4"/>
    <x v="14"/>
    <x v="14"/>
    <x v="0"/>
    <x v="0"/>
    <x v="0"/>
    <m/>
    <m/>
    <m/>
    <m/>
    <m/>
    <m/>
  </r>
  <r>
    <s v="LW"/>
    <s v="LWE"/>
    <s v="LWT"/>
    <s v="LW"/>
    <s v="AX1"/>
    <s v="E"/>
    <s v="(PS3)-SGSIN-(AGX)-KRPUS-(AX1)"/>
    <s v="69D9H"/>
    <n v="2"/>
    <s v="DR"/>
    <s v="D"/>
    <s v="Y"/>
    <s v="Y"/>
    <x v="19"/>
    <s v="PIPAVAV"/>
    <x v="5"/>
    <s v="PIPAVAV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7.4"/>
    <n v="793.26"/>
    <n v="873.48"/>
    <n v="4687.8500000000004"/>
    <n v="0"/>
    <n v="0"/>
    <n v="557.4"/>
    <n v="793.26"/>
    <n v="873.48"/>
    <n v="4687.8500000000004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7.54"/>
    <n v="668.93"/>
    <n v="668.93"/>
    <n v="0"/>
    <n v="0"/>
    <n v="0"/>
    <m/>
    <m/>
    <m/>
    <m/>
    <m/>
    <m/>
    <m/>
    <m/>
    <m/>
    <m/>
    <m/>
    <m/>
    <s v="PS3"/>
    <s v="AX1"/>
    <m/>
    <m/>
    <s v="S"/>
    <s v="67D21H"/>
    <n v="1599"/>
    <s v="2018-09-29"/>
    <m/>
    <n v="87.296000000000006"/>
    <n v="130.44499999999999"/>
    <n v="130.44499999999999"/>
    <n v="3.4449999999999998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93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4"/>
    <x v="14"/>
    <x v="14"/>
    <x v="0"/>
    <x v="0"/>
    <x v="0"/>
    <m/>
    <m/>
    <m/>
    <m/>
    <m/>
    <m/>
  </r>
  <r>
    <s v="LW"/>
    <s v="LWE"/>
    <s v="LWT"/>
    <s v="LW"/>
    <s v="AX1"/>
    <s v="E"/>
    <s v="(PS3)-SGSIN-(AGX)-KRPUS-(AX1)"/>
    <s v="78D8H"/>
    <n v="2"/>
    <s v="DR"/>
    <s v="D"/>
    <s v="Y"/>
    <s v="Y"/>
    <x v="19"/>
    <s v="PIPAVAV"/>
    <x v="5"/>
    <s v="PIPAVAV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1.6"/>
    <n v="888.06"/>
    <n v="968.27"/>
    <n v="4719.1400000000003"/>
    <n v="0"/>
    <n v="0"/>
    <n v="621.6"/>
    <n v="888.06"/>
    <n v="968.27"/>
    <n v="4719.1400000000003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7.54"/>
    <n v="668.93"/>
    <n v="668.93"/>
    <n v="0"/>
    <n v="0"/>
    <n v="0"/>
    <m/>
    <m/>
    <m/>
    <m/>
    <m/>
    <m/>
    <m/>
    <m/>
    <m/>
    <m/>
    <m/>
    <m/>
    <s v="PS3"/>
    <s v="AX1"/>
    <m/>
    <s v="B"/>
    <s v="S"/>
    <s v="76D2H"/>
    <n v="1742"/>
    <s v="2018-09-29"/>
    <s v="Historical averaged cost."/>
    <n v="87.296000000000006"/>
    <n v="130.44499999999999"/>
    <n v="130.44499999999999"/>
    <n v="3.4449999999999998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51.89770913999999"/>
    <n v="295.23177773999998"/>
    <n v="295.23177773999998"/>
    <n v="295.2317777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93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4"/>
    <x v="14"/>
    <x v="14"/>
    <x v="0"/>
    <x v="0"/>
    <x v="0"/>
    <m/>
    <m/>
    <m/>
    <m/>
    <m/>
    <m/>
  </r>
  <r>
    <s v="LW"/>
    <s v="LWE"/>
    <s v="LWT"/>
    <s v="LW"/>
    <s v="AX1"/>
    <s v="E"/>
    <s v="(PS3)-SGSIN-(CSW)-KRPUS-(AX1)"/>
    <s v="55D9H"/>
    <n v="1"/>
    <s v="DR"/>
    <s v="D"/>
    <s v="Y"/>
    <s v="Y"/>
    <x v="19"/>
    <s v="PIPAVAV"/>
    <x v="5"/>
    <s v="PIPAVAV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5.08"/>
    <n v="977.75"/>
    <n v="1051.9100000000001"/>
    <n v="4937.8900000000003"/>
    <n v="0"/>
    <n v="0"/>
    <n v="685.08"/>
    <n v="977.75"/>
    <n v="1051.9100000000001"/>
    <n v="4937.8900000000003"/>
    <n v="0"/>
    <n v="0"/>
    <s v="INPAV"/>
    <n v="8.8517849940000009"/>
    <n v="36.292087201999998"/>
    <n v="106.93831579099999"/>
    <n v="4015.506020588"/>
    <n v="0"/>
    <n v="0"/>
    <n v="8.8517849940000009"/>
    <n v="36.292087201999998"/>
    <n v="106.93831579099999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17.54"/>
    <n v="668.93"/>
    <n v="668.93"/>
    <n v="0"/>
    <n v="0"/>
    <n v="0"/>
    <m/>
    <m/>
    <m/>
    <m/>
    <m/>
    <m/>
    <m/>
    <m/>
    <m/>
    <m/>
    <m/>
    <m/>
    <s v="PS3"/>
    <s v="AX1"/>
    <m/>
    <m/>
    <s v="S"/>
    <s v="53D21H"/>
    <n v="1263"/>
    <s v="2018-09-29"/>
    <m/>
    <n v="87.296000000000006"/>
    <n v="130.44499999999999"/>
    <n v="130.44499999999999"/>
    <n v="3.4449999999999998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02.57646613999998"/>
    <n v="365.31848444000002"/>
    <n v="365.31848444000002"/>
    <n v="367.63048243999998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93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14"/>
    <x v="14"/>
    <x v="14"/>
    <x v="0"/>
    <x v="0"/>
    <x v="0"/>
    <m/>
    <m/>
    <m/>
    <m/>
    <m/>
    <m/>
  </r>
  <r>
    <s v="LW"/>
    <s v="LWE"/>
    <s v="LWT"/>
    <s v="LW"/>
    <s v="AX1"/>
    <s v="E"/>
    <s v="(NX2)-KRPUS-(AX1)"/>
    <s v="51D17H"/>
    <n v="1"/>
    <s v="DR"/>
    <s v="D"/>
    <s v="Y"/>
    <s v="Y"/>
    <x v="47"/>
    <s v="PORT KLANG"/>
    <x v="30"/>
    <s v="PORT KL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1.83"/>
    <n v="957.53"/>
    <n v="812.68"/>
    <n v="1190.22"/>
    <n v="0"/>
    <n v="0"/>
    <n v="511.83"/>
    <n v="957.53"/>
    <n v="812.68"/>
    <n v="1190.22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NX2"/>
    <s v="AX1"/>
    <m/>
    <s v="B"/>
    <s v="S"/>
    <s v="49D11H"/>
    <n v="1103"/>
    <s v="2018-09-29"/>
    <s v="Historical averaged cost."/>
    <n v="68.94359"/>
    <n v="104.02915"/>
    <n v="104.02915"/>
    <n v="124.38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6420003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AGX)-KRPUS-(AX1)"/>
    <s v="55D16H"/>
    <n v="1"/>
    <s v="DR"/>
    <s v="D"/>
    <s v="Y"/>
    <s v="Y"/>
    <x v="47"/>
    <s v="PORT KLANG"/>
    <x v="30"/>
    <s v="PORT KL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7.42999999999995"/>
    <n v="965.85"/>
    <n v="820.56"/>
    <n v="1203.1400000000001"/>
    <n v="0"/>
    <n v="0"/>
    <n v="517.42999999999995"/>
    <n v="965.85"/>
    <n v="820.56"/>
    <n v="1203.1400000000001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AGX"/>
    <s v="AX1"/>
    <m/>
    <s v="B"/>
    <s v="S"/>
    <s v="53D10H"/>
    <n v="1201"/>
    <s v="2018-09-29"/>
    <s v="Historical averaged cost."/>
    <n v="68.94359"/>
    <n v="104.02915"/>
    <n v="104.02915"/>
    <n v="124.389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6420004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NX2)-KRPUS-(AX1)"/>
    <s v="42D18H"/>
    <n v="1"/>
    <s v="DR"/>
    <s v="D"/>
    <s v="Y"/>
    <s v="Y"/>
    <x v="47"/>
    <s v="PORT KLANG"/>
    <x v="30"/>
    <s v="PORT KL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35.04"/>
    <n v="844.01"/>
    <n v="700.16"/>
    <n v="1129.8599999999999"/>
    <n v="0"/>
    <n v="0"/>
    <n v="435.04"/>
    <n v="844.01"/>
    <n v="700.16"/>
    <n v="1129.8599999999999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NX2"/>
    <s v="AX1"/>
    <m/>
    <m/>
    <s v="S"/>
    <s v="41D6H"/>
    <n v="960"/>
    <s v="2018-09-29"/>
    <m/>
    <n v="68.94359"/>
    <n v="104.02915"/>
    <n v="104.02915"/>
    <n v="124.38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6420001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AGX)-KRPUS-(AX1)"/>
    <s v="46D17H"/>
    <n v="1"/>
    <s v="DR"/>
    <s v="D"/>
    <s v="Y"/>
    <s v="Y"/>
    <x v="47"/>
    <s v="PORT KLANG"/>
    <x v="30"/>
    <s v="PORT KL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40.64"/>
    <n v="852.33"/>
    <n v="708.04"/>
    <n v="1142.78"/>
    <n v="0"/>
    <n v="0"/>
    <n v="440.64"/>
    <n v="852.33"/>
    <n v="708.04"/>
    <n v="1142.78"/>
    <n v="0"/>
    <n v="0"/>
    <s v="MYPKG"/>
    <n v="-7.1293389319999996"/>
    <n v="172.25263622200001"/>
    <n v="23.556926069999999"/>
    <n v="345.91539393599999"/>
    <n v="0"/>
    <n v="0"/>
    <n v="-7.1293389319999996"/>
    <n v="172.25263622200001"/>
    <n v="23.556926069999999"/>
    <n v="345.915393935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92"/>
    <n v="673.53"/>
    <n v="673.53"/>
    <n v="0"/>
    <n v="0"/>
    <n v="0"/>
    <m/>
    <m/>
    <m/>
    <m/>
    <m/>
    <m/>
    <m/>
    <m/>
    <m/>
    <m/>
    <m/>
    <m/>
    <s v="AGX"/>
    <s v="AX1"/>
    <m/>
    <m/>
    <s v="S"/>
    <s v="45D5H"/>
    <n v="1058"/>
    <s v="2018-09-29"/>
    <m/>
    <n v="68.94359"/>
    <n v="104.02915"/>
    <n v="104.02915"/>
    <n v="124.389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76420002"/>
    <s v="OPUS"/>
    <n v="122"/>
    <n v="244"/>
    <n v="244"/>
    <x v="0"/>
    <x v="0"/>
    <x v="0"/>
    <n v="60"/>
    <n v="120"/>
    <n v="120"/>
    <x v="0"/>
    <x v="0"/>
    <x v="0"/>
    <x v="7"/>
    <x v="7"/>
    <x v="7"/>
    <m/>
    <m/>
    <m/>
    <m/>
    <m/>
    <m/>
    <x v="8"/>
    <x v="8"/>
    <n v="4.4155417256427683"/>
    <x v="3"/>
    <x v="5"/>
    <x v="5"/>
    <x v="13"/>
    <x v="13"/>
    <x v="13"/>
    <x v="0"/>
    <x v="0"/>
    <x v="0"/>
    <m/>
    <m/>
    <m/>
    <m/>
    <m/>
    <m/>
  </r>
  <r>
    <s v="LW"/>
    <s v="LWE"/>
    <s v="LWT"/>
    <s v="LW"/>
    <s v="AX1"/>
    <s v="E"/>
    <s v="(AX1)"/>
    <s v="39D10H"/>
    <n v="1"/>
    <s v="DR"/>
    <s v="D"/>
    <s v="Y"/>
    <s v="Y"/>
    <x v="20"/>
    <s v="PUSAN"/>
    <x v="17"/>
    <s v="PUSA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4.41999999999996"/>
    <n v="834.82"/>
    <n v="797.94"/>
    <n v="843.75"/>
    <n v="0"/>
    <n v="0"/>
    <n v="594.41999999999996"/>
    <n v="834.82"/>
    <n v="797.94"/>
    <n v="843.75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44.21"/>
    <n v="689.61"/>
    <n v="689.61"/>
    <n v="0"/>
    <n v="0"/>
    <n v="0"/>
    <m/>
    <m/>
    <m/>
    <m/>
    <m/>
    <m/>
    <m/>
    <m/>
    <m/>
    <m/>
    <m/>
    <m/>
    <s v="AX1"/>
    <s v="AX1"/>
    <m/>
    <s v="B"/>
    <s v="S"/>
    <s v="37D4H"/>
    <n v="803"/>
    <s v="2018-09-29"/>
    <s v="Historical averaged cost."/>
    <n v="99.445239999999998"/>
    <n v="138.91093000000001"/>
    <n v="138.91093000000001"/>
    <n v="138.91093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150002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3"/>
    <x v="5"/>
    <x v="5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1"/>
    <s v="E"/>
    <s v="(AX1)"/>
    <s v="30D11H"/>
    <n v="1"/>
    <s v="DR"/>
    <s v="D"/>
    <s v="Y"/>
    <s v="Y"/>
    <x v="20"/>
    <s v="PUSAN"/>
    <x v="17"/>
    <s v="PUS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7.62"/>
    <n v="721.3"/>
    <n v="685.42"/>
    <n v="783.38"/>
    <n v="0"/>
    <n v="0"/>
    <n v="517.62"/>
    <n v="721.3"/>
    <n v="685.42"/>
    <n v="783.38"/>
    <n v="0"/>
    <n v="0"/>
    <s v="KRPUS"/>
    <n v="166.817425501"/>
    <n v="188.7"/>
    <n v="146.54458958999999"/>
    <n v="173.91"/>
    <n v="0"/>
    <n v="0"/>
    <n v="166.817425501"/>
    <n v="188.7"/>
    <n v="146.54458958999999"/>
    <n v="173.9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44.21"/>
    <n v="689.61"/>
    <n v="689.61"/>
    <n v="0"/>
    <n v="0"/>
    <n v="0"/>
    <m/>
    <m/>
    <m/>
    <m/>
    <m/>
    <m/>
    <m/>
    <m/>
    <m/>
    <m/>
    <m/>
    <m/>
    <s v="AX1"/>
    <s v="AX1"/>
    <m/>
    <m/>
    <s v="S"/>
    <s v="28D23H"/>
    <n v="660"/>
    <s v="2018-09-29"/>
    <m/>
    <n v="99.445239999999998"/>
    <n v="138.91093000000001"/>
    <n v="138.91093000000001"/>
    <n v="138.91093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62.4"/>
    <n v="59.1"/>
    <n v="96.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34150001"/>
    <s v="OPUS"/>
    <n v="122"/>
    <n v="244"/>
    <n v="244"/>
    <x v="0"/>
    <x v="0"/>
    <x v="0"/>
    <n v="60"/>
    <n v="120"/>
    <n v="120"/>
    <x v="0"/>
    <x v="0"/>
    <x v="0"/>
    <x v="8"/>
    <x v="8"/>
    <x v="8"/>
    <m/>
    <m/>
    <m/>
    <m/>
    <m/>
    <m/>
    <x v="9"/>
    <x v="9"/>
    <n v="7.1138399801274881"/>
    <x v="3"/>
    <x v="5"/>
    <x v="5"/>
    <x v="15"/>
    <x v="15"/>
    <x v="15"/>
    <x v="0"/>
    <x v="0"/>
    <x v="0"/>
    <n v="3.9303965890204369"/>
    <n v="7.8607931780408746"/>
    <n v="7.8607931780408746"/>
    <m/>
    <m/>
    <m/>
  </r>
  <r>
    <s v="LW"/>
    <s v="LWE"/>
    <s v="LWT"/>
    <s v="LW"/>
    <s v="AX3"/>
    <s v="E"/>
    <s v="(AX3)-MXZLO-(AX1)"/>
    <s v="42D0H"/>
    <n v="1"/>
    <s v="DR"/>
    <s v="D"/>
    <s v="Y"/>
    <s v="Y"/>
    <x v="21"/>
    <s v="QINGDAO, SHANDONG"/>
    <x v="18"/>
    <s v="QINGDAO, SHAN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0.02"/>
    <n v="865.58"/>
    <n v="858.13"/>
    <n v="1022.04"/>
    <n v="0"/>
    <n v="0"/>
    <n v="640.02"/>
    <n v="865.58"/>
    <n v="858.13"/>
    <n v="1022.04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AX3"/>
    <s v="AX1"/>
    <m/>
    <m/>
    <s v="S"/>
    <s v="40D12H"/>
    <n v="887"/>
    <s v="2018-09-29"/>
    <m/>
    <n v="78.981210000000004"/>
    <n v="118.47964"/>
    <n v="118.47964"/>
    <n v="153.5927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20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3"/>
    <s v="E"/>
    <s v="(AX3)-MXZLO-(AX1)"/>
    <s v="50D23H"/>
    <n v="1"/>
    <s v="DR"/>
    <s v="D"/>
    <s v="Y"/>
    <s v="Y"/>
    <x v="21"/>
    <s v="QINGDAO, SHANDONG"/>
    <x v="18"/>
    <s v="QINGDAO, SHAN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6.82"/>
    <n v="979.09"/>
    <n v="970.65"/>
    <n v="1082.4000000000001"/>
    <n v="0"/>
    <n v="0"/>
    <n v="716.82"/>
    <n v="979.09"/>
    <n v="970.65"/>
    <n v="1082.4000000000001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AX3"/>
    <s v="AX1"/>
    <m/>
    <s v="B"/>
    <s v="S"/>
    <s v="48D17H"/>
    <n v="1030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25.428"/>
    <n v="125.428"/>
    <n v="125.428"/>
    <n v="125.428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20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"/>
    <s v="50D23H"/>
    <n v="1"/>
    <s v="DR"/>
    <s v="D"/>
    <s v="Y"/>
    <s v="Y"/>
    <x v="21"/>
    <s v="QINGDAO, SHANDONG"/>
    <x v="18"/>
    <s v="QINGDAO, SHAN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5.06"/>
    <n v="1000.66"/>
    <n v="992.22"/>
    <n v="1103.98"/>
    <n v="0"/>
    <n v="0"/>
    <n v="695.06"/>
    <n v="1000.66"/>
    <n v="992.22"/>
    <n v="1103.98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AX3"/>
    <s v="AX1"/>
    <m/>
    <s v="B"/>
    <s v="S"/>
    <s v="48D17H"/>
    <n v="1030"/>
    <s v="2018-09-29"/>
    <s v="Historical averaged cost."/>
    <n v="78.981210000000004"/>
    <n v="118.47964"/>
    <n v="118.47964"/>
    <n v="153.59277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20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1"/>
    <s v="E"/>
    <s v="(AX3)-KRPUS-(AX1)"/>
    <s v="42D0H"/>
    <n v="1"/>
    <s v="DR"/>
    <s v="D"/>
    <s v="Y"/>
    <s v="Y"/>
    <x v="21"/>
    <s v="QINGDAO, SHANDONG"/>
    <x v="18"/>
    <s v="QINGDAO, SHAN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8.26"/>
    <n v="887.15"/>
    <n v="879.7"/>
    <n v="1043.6099999999999"/>
    <n v="0"/>
    <n v="0"/>
    <n v="618.26"/>
    <n v="887.15"/>
    <n v="879.7"/>
    <n v="1043.6099999999999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AX3"/>
    <s v="AX1"/>
    <m/>
    <m/>
    <s v="S"/>
    <s v="40D12H"/>
    <n v="887"/>
    <s v="2018-09-29"/>
    <m/>
    <n v="78.981210000000004"/>
    <n v="118.47964"/>
    <n v="118.47964"/>
    <n v="153.59277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20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1"/>
    <s v="E"/>
    <s v="(MD1)-KRPUS-(AX1)"/>
    <s v="45D23H"/>
    <n v="1"/>
    <s v="DR"/>
    <s v="D"/>
    <s v="Y"/>
    <s v="Y"/>
    <x v="21"/>
    <s v="QINGDAO, SHANDONG"/>
    <x v="18"/>
    <s v="QINGDAO, SHAN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8.04"/>
    <n v="990.24"/>
    <n v="982.35"/>
    <n v="1087.8"/>
    <n v="0"/>
    <n v="0"/>
    <n v="688.04"/>
    <n v="990.24"/>
    <n v="982.35"/>
    <n v="1087.8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MD1"/>
    <s v="AX1"/>
    <m/>
    <s v="B"/>
    <s v="S"/>
    <s v="43D17H"/>
    <n v="935"/>
    <s v="2018-09-29"/>
    <s v="Historical averaged cost."/>
    <n v="78.966210000000004"/>
    <n v="118.45663999999999"/>
    <n v="118.45663999999999"/>
    <n v="153.56977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200009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1"/>
    <s v="E"/>
    <s v="(MD1)-KRPUS-(AX1)"/>
    <s v="37D0H"/>
    <n v="1"/>
    <s v="DR"/>
    <s v="D"/>
    <s v="Y"/>
    <s v="Y"/>
    <x v="21"/>
    <s v="QINGDAO, SHANDONG"/>
    <x v="18"/>
    <s v="QINGDAO, SHAN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1.24"/>
    <n v="876.73"/>
    <n v="869.83"/>
    <n v="1027.44"/>
    <n v="0"/>
    <n v="0"/>
    <n v="611.24"/>
    <n v="876.73"/>
    <n v="869.83"/>
    <n v="1027.44"/>
    <n v="0"/>
    <n v="0"/>
    <s v="CNTAO"/>
    <n v="167.456559863"/>
    <n v="203.01786933599999"/>
    <n v="190.61727384400001"/>
    <n v="233.693988631"/>
    <n v="0"/>
    <n v="0"/>
    <n v="167.456559863"/>
    <n v="203.01786933599999"/>
    <n v="190.61727384400001"/>
    <n v="233.69398863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9.77"/>
    <n v="669.64"/>
    <n v="669.64"/>
    <n v="0"/>
    <n v="0"/>
    <n v="0"/>
    <m/>
    <m/>
    <m/>
    <m/>
    <m/>
    <m/>
    <m/>
    <m/>
    <m/>
    <m/>
    <m/>
    <m/>
    <s v="MD1"/>
    <s v="AX1"/>
    <m/>
    <m/>
    <s v="S"/>
    <s v="35D12H"/>
    <n v="792"/>
    <s v="2018-09-29"/>
    <m/>
    <n v="78.966210000000004"/>
    <n v="118.45663999999999"/>
    <n v="118.45663999999999"/>
    <n v="153.56977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220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16"/>
    <x v="16"/>
    <x v="16"/>
    <x v="0"/>
    <x v="0"/>
    <x v="0"/>
    <m/>
    <m/>
    <m/>
    <m/>
    <m/>
    <m/>
  </r>
  <r>
    <s v="LW"/>
    <s v="LWE"/>
    <s v="LWT"/>
    <s v="LW"/>
    <s v="AX1"/>
    <s v="E"/>
    <s v="(AX1)"/>
    <s v="35D7H"/>
    <n v="1"/>
    <s v="DR"/>
    <s v="D"/>
    <s v="Y"/>
    <s v="Y"/>
    <x v="22"/>
    <s v="SHANGHAI, SHANGHAI"/>
    <x v="3"/>
    <s v="SHANGHAI, SHANGHA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485.66"/>
    <n v="752.31"/>
    <n v="708.3"/>
    <n v="870.06"/>
    <n v="0"/>
    <n v="0"/>
    <n v="485.66"/>
    <n v="752.31"/>
    <n v="708.3"/>
    <n v="870.06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0.64"/>
    <n v="714.99"/>
    <n v="714.99"/>
    <n v="0"/>
    <n v="0"/>
    <n v="0"/>
    <m/>
    <m/>
    <m/>
    <m/>
    <m/>
    <m/>
    <m/>
    <m/>
    <m/>
    <m/>
    <m/>
    <m/>
    <s v="AX1"/>
    <s v="AX1"/>
    <m/>
    <m/>
    <s v="S"/>
    <s v="33D20H"/>
    <n v="780"/>
    <s v="2018-09-29"/>
    <m/>
    <n v="86.919309999999996"/>
    <n v="130.37896000000001"/>
    <n v="130.37896000000001"/>
    <n v="156.7138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2.8"/>
    <n v="68.95"/>
    <n v="113.0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65550001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4D6H"/>
    <n v="1"/>
    <s v="DR"/>
    <s v="D"/>
    <s v="Y"/>
    <s v="Y"/>
    <x v="22"/>
    <s v="SHANGHAI, SHANGHAI"/>
    <x v="3"/>
    <s v="SHANGHAI, SHANGHA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62.46"/>
    <n v="865.83"/>
    <n v="820.83"/>
    <n v="930.42"/>
    <n v="0"/>
    <n v="0"/>
    <n v="562.46"/>
    <n v="865.83"/>
    <n v="820.83"/>
    <n v="930.42"/>
    <n v="0"/>
    <n v="0"/>
    <s v="CNSHA"/>
    <n v="140.38554473600001"/>
    <n v="217.84274021100001"/>
    <n v="168.11284618100001"/>
    <n v="226.63119938200001"/>
    <n v="0"/>
    <n v="0"/>
    <n v="140.38554473600001"/>
    <n v="217.84274021100001"/>
    <n v="168.11284618100001"/>
    <n v="226.631199382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0.64"/>
    <n v="714.99"/>
    <n v="714.99"/>
    <n v="0"/>
    <n v="0"/>
    <n v="0"/>
    <m/>
    <m/>
    <m/>
    <m/>
    <m/>
    <m/>
    <m/>
    <m/>
    <m/>
    <m/>
    <m/>
    <m/>
    <s v="AX1"/>
    <s v="AX1"/>
    <m/>
    <s v="B"/>
    <s v="S"/>
    <s v="42D1H"/>
    <n v="923"/>
    <s v="2018-09-29"/>
    <s v="Historical averaged cost."/>
    <n v="86.919309999999996"/>
    <n v="130.37896000000001"/>
    <n v="130.37896000000001"/>
    <n v="156.7138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6"/>
    <n v="91.52"/>
    <n v="86.68"/>
    <n v="142.1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65550003"/>
    <s v="OPUS"/>
    <n v="122"/>
    <n v="244"/>
    <n v="244"/>
    <x v="1"/>
    <x v="1"/>
    <x v="1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2D3H"/>
    <n v="1"/>
    <s v="DR"/>
    <s v="D"/>
    <s v="Y"/>
    <s v="Y"/>
    <x v="23"/>
    <s v="SHANTOU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0.1"/>
    <n v="861.88"/>
    <n v="1162.31"/>
    <n v="1487.3"/>
    <n v="0"/>
    <n v="0"/>
    <n v="730.1"/>
    <n v="861.88"/>
    <n v="1162.31"/>
    <n v="1487.3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40D9H"/>
    <n v="864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1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SAS)-HKHKG-(AX1)"/>
    <s v="48D2H"/>
    <n v="1"/>
    <s v="DR"/>
    <s v="D"/>
    <s v="Y"/>
    <s v="Y"/>
    <x v="23"/>
    <s v="SHANTOU, GUANGDONG"/>
    <x v="11"/>
    <s v="XIAMEN, FUJI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0.23"/>
    <n v="963.35"/>
    <n v="1263.1300000000001"/>
    <n v="1647.37"/>
    <n v="0"/>
    <n v="0"/>
    <n v="800.23"/>
    <n v="963.35"/>
    <n v="1263.1300000000001"/>
    <n v="1647.3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SAS"/>
    <s v="AX1"/>
    <s v="F"/>
    <m/>
    <s v="S"/>
    <s v="46D8H"/>
    <n v="1032"/>
    <s v="2018-09-29"/>
    <s v="Historical averaged cost."/>
    <n v="67.428600000000003"/>
    <n v="100.82671000000001"/>
    <n v="100.82671000000001"/>
    <n v="119.51712999999999"/>
    <n v="0"/>
    <n v="0"/>
    <n v="99.376729999999995"/>
    <n v="188.56097"/>
    <n v="188.56097"/>
    <n v="245.25667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0D3H"/>
    <n v="1"/>
    <s v="DR"/>
    <s v="D"/>
    <s v="Y"/>
    <s v="Y"/>
    <x v="23"/>
    <s v="SHANTOU, GUANGDONG"/>
    <x v="8"/>
    <s v="YANTIAN, GUANG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3.17"/>
    <n v="759.46"/>
    <n v="1060.1099999999999"/>
    <n v="1373.1"/>
    <n v="0"/>
    <n v="0"/>
    <n v="663.17"/>
    <n v="759.46"/>
    <n v="1060.1099999999999"/>
    <n v="1373.1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8D10H"/>
    <n v="853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EC3)-HKHKG-(AX1)"/>
    <s v="48D2H"/>
    <n v="2"/>
    <s v="DR"/>
    <s v="D"/>
    <s v="Y"/>
    <s v="Y"/>
    <x v="23"/>
    <s v="SHANTOU, GUANGDONG"/>
    <x v="11"/>
    <s v="XIAMEN, FUJI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0.31"/>
    <n v="963.43"/>
    <n v="1263.2"/>
    <n v="1647.44"/>
    <n v="0"/>
    <n v="0"/>
    <n v="800.31"/>
    <n v="963.43"/>
    <n v="1263.2"/>
    <n v="1647.44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EC3"/>
    <s v="AX1"/>
    <s v="F"/>
    <m/>
    <s v="S"/>
    <s v="46D8H"/>
    <n v="1024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2)-KRPUS-(AX1)"/>
    <s v="55D20H"/>
    <n v="1"/>
    <s v="DR"/>
    <s v="D"/>
    <s v="Y"/>
    <s v="Y"/>
    <x v="23"/>
    <s v="SHANTOU, GUANGDONG"/>
    <x v="11"/>
    <s v="XIAMEN, FUJIA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84.35"/>
    <n v="1071.95"/>
    <n v="1370.84"/>
    <n v="1664.35"/>
    <n v="0"/>
    <n v="0"/>
    <n v="884.35"/>
    <n v="1071.95"/>
    <n v="1370.84"/>
    <n v="1664.35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2"/>
    <s v="AX1"/>
    <s v="B"/>
    <s v="B"/>
    <s v="S"/>
    <s v="53D9H"/>
    <n v="1150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51D2H"/>
    <n v="1"/>
    <s v="DR"/>
    <s v="D"/>
    <s v="Y"/>
    <s v="Y"/>
    <x v="23"/>
    <s v="SHANTOU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6.9"/>
    <n v="975.39"/>
    <n v="1274.83"/>
    <n v="1547.67"/>
    <n v="0"/>
    <n v="0"/>
    <n v="806.9"/>
    <n v="975.39"/>
    <n v="1274.83"/>
    <n v="1547.6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8D14H"/>
    <n v="1007"/>
    <s v="2018-09-29"/>
    <s v="Historical averaged cost."/>
    <n v="152.66703000000001"/>
    <n v="230.55654000000001"/>
    <n v="230.55654000000001"/>
    <n v="270.17982999999998"/>
    <n v="0"/>
    <n v="0"/>
    <n v="98.102670000000003"/>
    <n v="189.83502999999999"/>
    <n v="189.83502999999999"/>
    <n v="213.53255999999999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1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9D2H"/>
    <n v="1"/>
    <s v="DR"/>
    <s v="D"/>
    <s v="Y"/>
    <s v="Y"/>
    <x v="23"/>
    <s v="SHANTOU, GUANGDONG"/>
    <x v="8"/>
    <s v="YANTIAN, GUANG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9.96"/>
    <n v="872.98"/>
    <n v="1172.6400000000001"/>
    <n v="1433.47"/>
    <n v="0"/>
    <n v="0"/>
    <n v="739.96"/>
    <n v="872.98"/>
    <n v="1172.6400000000001"/>
    <n v="1433.47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6D15H"/>
    <n v="996"/>
    <s v="2018-09-29"/>
    <s v="Historical averaged cost."/>
    <n v="88.532589999999999"/>
    <n v="132.29938999999999"/>
    <n v="132.29938999999999"/>
    <n v="162.43816000000001"/>
    <n v="0"/>
    <n v="0"/>
    <n v="98.102670000000003"/>
    <n v="189.83502999999999"/>
    <n v="189.83502999999999"/>
    <n v="213.53255999999999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10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2)-KRPUS-(AX1)"/>
    <s v="46D21H"/>
    <n v="1"/>
    <s v="DR"/>
    <s v="D"/>
    <s v="Y"/>
    <s v="Y"/>
    <x v="23"/>
    <s v="SHANTOU, GUANGDONG"/>
    <x v="11"/>
    <s v="XIAMEN, FUJI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7.56"/>
    <n v="958.44"/>
    <n v="1258.32"/>
    <n v="1603.99"/>
    <n v="0"/>
    <n v="0"/>
    <n v="807.56"/>
    <n v="958.44"/>
    <n v="1258.32"/>
    <n v="1603.99"/>
    <n v="0"/>
    <n v="0"/>
    <s v="CNSWA"/>
    <n v="211.175075886"/>
    <n v="22.835578623"/>
    <n v="318.31550035599997"/>
    <n v="494.26651704400001"/>
    <n v="0"/>
    <n v="0"/>
    <n v="211.175075886"/>
    <n v="22.835578623"/>
    <n v="318.31550035599997"/>
    <n v="494.266517044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2"/>
    <s v="AX1"/>
    <s v="F"/>
    <m/>
    <s v="S"/>
    <s v="45D4H"/>
    <n v="1007"/>
    <s v="2018-09-29"/>
    <s v="Historical averaged cost."/>
    <n v="67.504099999999994"/>
    <n v="100.90221"/>
    <n v="100.90221"/>
    <n v="119.59263"/>
    <n v="0"/>
    <n v="0"/>
    <n v="99.376729999999995"/>
    <n v="188.56097"/>
    <n v="188.56097"/>
    <n v="245.25667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929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9D21H"/>
    <n v="1"/>
    <s v="DR"/>
    <s v="D"/>
    <s v="Y"/>
    <s v="Y"/>
    <x v="24"/>
    <s v="SHEKOU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8.06"/>
    <n v="1204.22"/>
    <n v="1190.23"/>
    <n v="1402"/>
    <n v="0"/>
    <n v="0"/>
    <n v="758.06"/>
    <n v="1204.22"/>
    <n v="1190.23"/>
    <n v="1402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7D9H"/>
    <n v="1006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828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0D22H"/>
    <n v="1"/>
    <s v="DR"/>
    <s v="D"/>
    <s v="Y"/>
    <s v="Y"/>
    <x v="24"/>
    <s v="SHEKOU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1.26"/>
    <n v="1090.71"/>
    <n v="1077.7"/>
    <n v="1341.63"/>
    <n v="0"/>
    <n v="0"/>
    <n v="681.26"/>
    <n v="1090.71"/>
    <n v="1077.7"/>
    <n v="1341.63"/>
    <n v="0"/>
    <n v="0"/>
    <s v="CNSHK"/>
    <n v="146.960409481"/>
    <n v="266.71747357999999"/>
    <n v="248.65542857400001"/>
    <n v="365.53749690000001"/>
    <n v="0"/>
    <n v="0"/>
    <n v="146.960409481"/>
    <n v="266.71747357999999"/>
    <n v="248.65542857400001"/>
    <n v="365.537496900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9D4H"/>
    <n v="863"/>
    <s v="2018-09-29"/>
    <s v="Historical averaged cost."/>
    <n v="257.60924999999997"/>
    <n v="387.54253"/>
    <n v="387.54253"/>
    <n v="444.13717000000003"/>
    <n v="0"/>
    <n v="0"/>
    <n v="9.9376700000000007"/>
    <n v="19.875350000000001"/>
    <n v="19.875350000000001"/>
    <n v="25.863430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63828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EC1)-KRPUS-(AX1)"/>
    <s v="48D12H"/>
    <n v="3"/>
    <s v="DR"/>
    <s v="D"/>
    <s v="Y"/>
    <s v="Y"/>
    <x v="51"/>
    <s v="TAICA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0.64"/>
    <n v="1139.4100000000001"/>
    <n v="1142.8399999999999"/>
    <n v="947.99"/>
    <n v="0"/>
    <n v="0"/>
    <n v="790.64"/>
    <n v="1139.4100000000001"/>
    <n v="1142.8399999999999"/>
    <n v="947.99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EC1"/>
    <s v="AX1"/>
    <s v="B"/>
    <s v="B"/>
    <s v="T"/>
    <s v="46D0H"/>
    <n v="922"/>
    <s v="2018-09-29"/>
    <s v="Historical averaged cost."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9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EC1)-KRPUS-(AX1)"/>
    <s v="39D13H"/>
    <n v="3"/>
    <s v="DR"/>
    <s v="D"/>
    <s v="Y"/>
    <s v="Y"/>
    <x v="51"/>
    <s v="TAICA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3.84"/>
    <n v="1025.9000000000001"/>
    <n v="1030.31"/>
    <n v="887.62"/>
    <n v="0"/>
    <n v="0"/>
    <n v="713.84"/>
    <n v="1025.9000000000001"/>
    <n v="1030.31"/>
    <n v="887.62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EC1"/>
    <s v="AX1"/>
    <s v="F"/>
    <m/>
    <s v="T"/>
    <s v="37D19H"/>
    <n v="779"/>
    <s v="2018-09-29"/>
    <m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6"/>
    <n v="83.2"/>
    <n v="78.8"/>
    <n v="129.19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4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54D12H"/>
    <n v="3"/>
    <s v="DR"/>
    <s v="D"/>
    <s v="Y"/>
    <s v="Y"/>
    <x v="51"/>
    <s v="TAICA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9.04"/>
    <n v="1151.8900000000001"/>
    <n v="1154.6600000000001"/>
    <n v="967.37"/>
    <n v="0"/>
    <n v="0"/>
    <n v="799.04"/>
    <n v="1151.8900000000001"/>
    <n v="1154.6600000000001"/>
    <n v="967.37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T"/>
    <s v="52D0H"/>
    <n v="1044"/>
    <s v="2018-09-29"/>
    <s v="Historical averaged cost."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7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-KRPUS-(AX1)"/>
    <s v="45D13H"/>
    <n v="3"/>
    <s v="DR"/>
    <s v="D"/>
    <s v="Y"/>
    <s v="Y"/>
    <x v="51"/>
    <s v="TAICA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2.24"/>
    <n v="1038.3800000000001"/>
    <n v="1042.1300000000001"/>
    <n v="907"/>
    <n v="0"/>
    <n v="0"/>
    <n v="722.24"/>
    <n v="1038.3800000000001"/>
    <n v="1042.1300000000001"/>
    <n v="907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T"/>
    <s v="43D19H"/>
    <n v="901"/>
    <s v="2018-09-29"/>
    <m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2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51D12H"/>
    <n v="1"/>
    <s v="DR"/>
    <s v="D"/>
    <s v="Y"/>
    <s v="Y"/>
    <x v="51"/>
    <s v="TAICANG, JIANGSU"/>
    <x v="3"/>
    <s v="SHANGHAI, SHANGHA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0.64"/>
    <n v="1182.8499999999999"/>
    <n v="1185.94"/>
    <n v="1028.96"/>
    <n v="0"/>
    <n v="0"/>
    <n v="800.64"/>
    <n v="1182.8499999999999"/>
    <n v="1185.94"/>
    <n v="1028.96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S"/>
    <s v="49D1H"/>
    <n v="923"/>
    <s v="2018-09-29"/>
    <s v="Historical averaged cost."/>
    <n v="99.140680000000003"/>
    <n v="148.71053000000001"/>
    <n v="148.71053000000001"/>
    <n v="179.43451999999999"/>
    <n v="0"/>
    <n v="0"/>
    <n v="120"/>
    <n v="200"/>
    <n v="200"/>
    <n v="25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1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7D12H"/>
    <n v="1"/>
    <s v="DR"/>
    <s v="D"/>
    <s v="Y"/>
    <s v="Y"/>
    <x v="51"/>
    <s v="TAICA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85.57"/>
    <n v="990.33"/>
    <n v="993.87"/>
    <n v="797.76"/>
    <n v="0"/>
    <n v="0"/>
    <n v="685.57"/>
    <n v="990.33"/>
    <n v="993.87"/>
    <n v="797.76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S"/>
    <s v="45D0H"/>
    <n v="876"/>
    <s v="2018-09-29"/>
    <s v="Historical averaged cost."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6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38D13H"/>
    <n v="1"/>
    <s v="DR"/>
    <s v="D"/>
    <s v="Y"/>
    <s v="Y"/>
    <x v="51"/>
    <s v="TAICA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8.78"/>
    <n v="876.82"/>
    <n v="881.34"/>
    <n v="737.39"/>
    <n v="0"/>
    <n v="0"/>
    <n v="608.78"/>
    <n v="876.82"/>
    <n v="881.34"/>
    <n v="737.39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S"/>
    <s v="36D19H"/>
    <n v="733"/>
    <s v="2018-09-29"/>
    <m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50D12H"/>
    <n v="3"/>
    <s v="DR"/>
    <s v="D"/>
    <s v="Y"/>
    <s v="Y"/>
    <x v="51"/>
    <s v="TAICA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4.12"/>
    <n v="1213.6600000000001"/>
    <n v="1216.8599999999999"/>
    <n v="1026.8399999999999"/>
    <n v="0"/>
    <n v="0"/>
    <n v="844.12"/>
    <n v="1213.6600000000001"/>
    <n v="1216.8599999999999"/>
    <n v="1026.8399999999999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2"/>
    <s v="AX1"/>
    <s v="B"/>
    <s v="B"/>
    <s v="T"/>
    <s v="48D0H"/>
    <n v="971"/>
    <s v="2018-09-29"/>
    <s v="Historical averaged cost."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10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2)-KRPUS-(AX1)"/>
    <s v="41D13H"/>
    <n v="3"/>
    <s v="DR"/>
    <s v="D"/>
    <s v="Y"/>
    <s v="Y"/>
    <x v="51"/>
    <s v="TAICA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32"/>
    <n v="1100.1400000000001"/>
    <n v="1104.3399999999999"/>
    <n v="966.48"/>
    <n v="0"/>
    <n v="0"/>
    <n v="767.32"/>
    <n v="1100.1400000000001"/>
    <n v="1104.3399999999999"/>
    <n v="966.48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2"/>
    <s v="AX1"/>
    <s v="F"/>
    <m/>
    <s v="T"/>
    <s v="39D19H"/>
    <n v="828"/>
    <s v="2018-09-29"/>
    <m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5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58D12H"/>
    <n v="3"/>
    <s v="DR"/>
    <s v="D"/>
    <s v="Y"/>
    <s v="Y"/>
    <x v="51"/>
    <s v="TAICANG, JIANGSU"/>
    <x v="4"/>
    <s v="NINGBO, ZHEJIA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4.64"/>
    <n v="1160.21"/>
    <n v="1162.54"/>
    <n v="980.29"/>
    <n v="0"/>
    <n v="0"/>
    <n v="804.64"/>
    <n v="1160.21"/>
    <n v="1162.54"/>
    <n v="980.29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3"/>
    <s v="AX1"/>
    <s v="B"/>
    <s v="B"/>
    <s v="T"/>
    <s v="56D0H"/>
    <n v="1149"/>
    <s v="2018-09-29"/>
    <s v="Historical averaged cost."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82.6"/>
    <n v="122.72"/>
    <n v="116.23"/>
    <n v="190.5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8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3)-KRPUS-(AX1)"/>
    <s v="49D13H"/>
    <n v="3"/>
    <s v="DR"/>
    <s v="D"/>
    <s v="Y"/>
    <s v="Y"/>
    <x v="51"/>
    <s v="TAICANG, JIANGSU"/>
    <x v="4"/>
    <s v="NINGBO, ZHEJIA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84"/>
    <n v="1046.7"/>
    <n v="1050.01"/>
    <n v="919.92"/>
    <n v="0"/>
    <n v="0"/>
    <n v="727.84"/>
    <n v="1046.7"/>
    <n v="1050.01"/>
    <n v="919.92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3"/>
    <s v="AX1"/>
    <s v="F"/>
    <m/>
    <s v="T"/>
    <s v="47D19H"/>
    <n v="1006"/>
    <s v="2018-09-29"/>
    <m/>
    <n v="21.89311"/>
    <n v="32.839919999999999"/>
    <n v="32.839919999999999"/>
    <n v="46.555990000000001"/>
    <n v="0"/>
    <n v="0"/>
    <n v="87.782830000000004"/>
    <n v="131.67424"/>
    <n v="131.67424"/>
    <n v="164.59280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2D13H"/>
    <n v="1"/>
    <s v="DR"/>
    <s v="D"/>
    <s v="Y"/>
    <s v="Y"/>
    <x v="51"/>
    <s v="TAICANG, JIANGSU"/>
    <x v="3"/>
    <s v="SHANGHAI, SHANGHA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3.84"/>
    <n v="1069.33"/>
    <n v="1073.42"/>
    <n v="968.6"/>
    <n v="0"/>
    <n v="0"/>
    <n v="723.84"/>
    <n v="1069.33"/>
    <n v="1073.42"/>
    <n v="968.6"/>
    <n v="0"/>
    <n v="0"/>
    <s v="CNTAG"/>
    <n v="235.14521648100001"/>
    <n v="299.89064097400001"/>
    <n v="299.13581625"/>
    <n v="26.607571027999999"/>
    <n v="0"/>
    <n v="0"/>
    <n v="235.14521648100001"/>
    <n v="299.89064097400001"/>
    <n v="299.13581625"/>
    <n v="26.6075710279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S"/>
    <s v="40D20H"/>
    <n v="780"/>
    <s v="2018-09-29"/>
    <m/>
    <n v="99.140680000000003"/>
    <n v="148.71053000000001"/>
    <n v="148.71053000000001"/>
    <n v="179.43451999999999"/>
    <n v="0"/>
    <n v="0"/>
    <n v="120"/>
    <n v="200"/>
    <n v="200"/>
    <n v="25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709001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47D19H"/>
    <n v="1"/>
    <s v="DR"/>
    <s v="D"/>
    <s v="Y"/>
    <s v="Y"/>
    <x v="25"/>
    <s v="TAICHUNG CITY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78.81"/>
    <n v="923.6"/>
    <n v="896.96"/>
    <n v="1012.41"/>
    <n v="0"/>
    <n v="0"/>
    <n v="678.81"/>
    <n v="923.6"/>
    <n v="896.96"/>
    <n v="1012.41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m/>
    <s v="S"/>
    <s v="46D1H"/>
    <n v="950"/>
    <s v="2018-09-29"/>
    <m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830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63D18H"/>
    <n v="3"/>
    <s v="DR"/>
    <s v="D"/>
    <s v="Y"/>
    <s v="Y"/>
    <x v="25"/>
    <s v="TAICHUNG CITY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9.48"/>
    <n v="1065.56"/>
    <n v="1044.2"/>
    <n v="1035.67"/>
    <n v="0"/>
    <n v="0"/>
    <n v="779.48"/>
    <n v="1065.56"/>
    <n v="1044.2"/>
    <n v="1035.67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s v="B"/>
    <s v="T"/>
    <s v="61D6H"/>
    <n v="1261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830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54D19H"/>
    <n v="3"/>
    <s v="DR"/>
    <s v="D"/>
    <s v="Y"/>
    <s v="Y"/>
    <x v="25"/>
    <s v="TAICHUNG CITY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92.28"/>
    <n v="1085.1600000000001"/>
    <n v="1057.75"/>
    <n v="1182.02"/>
    <n v="0"/>
    <n v="0"/>
    <n v="792.28"/>
    <n v="1085.1600000000001"/>
    <n v="1057.75"/>
    <n v="1182.02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m/>
    <s v="T"/>
    <s v="53D1H"/>
    <n v="1118"/>
    <s v="2018-09-29"/>
    <m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7"/>
    <n v="114.4"/>
    <n v="108.35"/>
    <n v="177.6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830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56D18H"/>
    <n v="2"/>
    <s v="DR"/>
    <s v="D"/>
    <s v="Y"/>
    <s v="Y"/>
    <x v="25"/>
    <s v="TAICHUNG CITY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1"/>
    <n v="1037.1199999999999"/>
    <n v="1009.49"/>
    <n v="1072.78"/>
    <n v="0"/>
    <n v="0"/>
    <n v="755.61"/>
    <n v="1037.1199999999999"/>
    <n v="1009.49"/>
    <n v="1072.78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s v="B"/>
    <s v="S"/>
    <s v="54D6H"/>
    <n v="1093"/>
    <s v="2018-09-29"/>
    <s v="Historical averaged cost."/>
    <n v="105.19851"/>
    <n v="138.91148000000001"/>
    <n v="138.91148000000001"/>
    <n v="138.91148000000001"/>
    <n v="0"/>
    <n v="0"/>
    <n v="144.44219000000001"/>
    <n v="144.44219000000001"/>
    <n v="144.44219000000001"/>
    <n v="144.4421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8"/>
    <n v="118.56"/>
    <n v="112.29"/>
    <n v="184.1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830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62D18H"/>
    <n v="1"/>
    <s v="DR"/>
    <s v="D"/>
    <s v="Y"/>
    <s v="Y"/>
    <x v="25"/>
    <s v="TAICHUNG CITY"/>
    <x v="26"/>
    <s v="KAOHSIUNG CITY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6.09"/>
    <n v="1016.92"/>
    <n v="995.56"/>
    <n v="987.03"/>
    <n v="0"/>
    <n v="0"/>
    <n v="756.09"/>
    <n v="1016.92"/>
    <n v="995.56"/>
    <n v="987.03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s v="T"/>
    <s v="B"/>
    <s v="S"/>
    <s v="60D6H"/>
    <n v="1116"/>
    <s v="2018-09-29"/>
    <s v="Historical averaged cost."/>
    <n v="89.310370000000006"/>
    <n v="97.769739999999999"/>
    <n v="97.769739999999999"/>
    <n v="97.769739999999999"/>
    <n v="0"/>
    <n v="0"/>
    <n v="136.94292999999999"/>
    <n v="136.94292999999999"/>
    <n v="136.94292999999999"/>
    <n v="136.94292999999999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830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53D19H"/>
    <n v="1"/>
    <s v="DR"/>
    <s v="D"/>
    <s v="Y"/>
    <s v="Y"/>
    <x v="25"/>
    <s v="TAICHUNG CITY"/>
    <x v="26"/>
    <s v="KAOHSIUNG CITY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49"/>
    <n v="1034.44"/>
    <n v="1007.14"/>
    <n v="1130.1500000000001"/>
    <n v="0"/>
    <n v="0"/>
    <n v="767.49"/>
    <n v="1034.44"/>
    <n v="1007.14"/>
    <n v="1130.1500000000001"/>
    <n v="0"/>
    <n v="0"/>
    <s v="TWTXG"/>
    <n v="152.61645305499999"/>
    <n v="209.120495511"/>
    <n v="178.188153309"/>
    <n v="200.35436309900001"/>
    <n v="0"/>
    <n v="0"/>
    <n v="152.61645305499999"/>
    <n v="209.120495511"/>
    <n v="178.188153309"/>
    <n v="200.354363099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s v="T"/>
    <m/>
    <s v="S"/>
    <s v="52D1H"/>
    <n v="973"/>
    <s v="2018-09-29"/>
    <m/>
    <n v="89.310370000000006"/>
    <n v="97.769739999999999"/>
    <n v="97.769739999999999"/>
    <n v="97.769739999999999"/>
    <n v="0"/>
    <n v="0"/>
    <n v="136.94292999999999"/>
    <n v="136.94292999999999"/>
    <n v="136.94292999999999"/>
    <n v="136.94292999999999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5830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57D12H"/>
    <n v="2"/>
    <s v="DR"/>
    <s v="D"/>
    <s v="Y"/>
    <s v="Y"/>
    <x v="26"/>
    <s v="TAOYUAN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6.46"/>
    <n v="1011.41"/>
    <n v="967.47"/>
    <n v="1045.42"/>
    <n v="0"/>
    <n v="0"/>
    <n v="706.46"/>
    <n v="1011.41"/>
    <n v="967.47"/>
    <n v="1045.42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s v="B"/>
    <s v="S"/>
    <s v="55D0H"/>
    <n v="1093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2"/>
    <n v="120.64"/>
    <n v="114.26"/>
    <n v="187.3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420003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64D12H"/>
    <n v="3"/>
    <s v="DR"/>
    <s v="D"/>
    <s v="Y"/>
    <s v="Y"/>
    <x v="26"/>
    <s v="TAOYUAN"/>
    <x v="14"/>
    <s v="KEELU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8.93"/>
    <n v="1037.77"/>
    <n v="1000.21"/>
    <n v="1005.08"/>
    <n v="0"/>
    <n v="0"/>
    <n v="728.93"/>
    <n v="1037.77"/>
    <n v="1000.21"/>
    <n v="1005.08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s v="B"/>
    <s v="T"/>
    <s v="62D0H"/>
    <n v="1261"/>
    <s v="2018-09-29"/>
    <s v="Historical averaged cost."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420004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53D21H"/>
    <n v="1"/>
    <s v="DR"/>
    <s v="D"/>
    <s v="Y"/>
    <s v="Y"/>
    <x v="26"/>
    <s v="TAOYUAN"/>
    <x v="26"/>
    <s v="KAOHSIUNG CITY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38.56"/>
    <n v="1128.27"/>
    <n v="1084.77"/>
    <n v="1221.18"/>
    <n v="0"/>
    <n v="0"/>
    <n v="838.56"/>
    <n v="1128.27"/>
    <n v="1084.77"/>
    <n v="1221.18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s v="T"/>
    <m/>
    <s v="S"/>
    <s v="52D3H"/>
    <n v="973"/>
    <s v="2018-09-29"/>
    <m/>
    <n v="88.590369999999993"/>
    <n v="97.04974"/>
    <n v="97.04974"/>
    <n v="97.04974"/>
    <n v="0"/>
    <n v="0"/>
    <n v="197.26302999999999"/>
    <n v="197.26302999999999"/>
    <n v="197.26302999999999"/>
    <n v="197.26302999999999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420005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"/>
    <s v="48D13H"/>
    <n v="1"/>
    <s v="DR"/>
    <s v="D"/>
    <s v="Y"/>
    <s v="Y"/>
    <x v="26"/>
    <s v="TAOYUAN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29.66999999999996"/>
    <n v="897.9"/>
    <n v="854.94"/>
    <n v="985.05"/>
    <n v="0"/>
    <n v="0"/>
    <n v="629.66999999999996"/>
    <n v="897.9"/>
    <n v="854.94"/>
    <n v="985.05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m/>
    <s v="S"/>
    <s v="46D19H"/>
    <n v="950"/>
    <s v="2018-09-29"/>
    <m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420001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MD3)-KRPUS-(AX1)"/>
    <s v="62D20H"/>
    <n v="1"/>
    <s v="DR"/>
    <s v="D"/>
    <s v="Y"/>
    <s v="Y"/>
    <x v="26"/>
    <s v="TAOYUAN"/>
    <x v="26"/>
    <s v="KAOHSIUNG CITY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7.16"/>
    <n v="1110.75"/>
    <n v="1073.19"/>
    <n v="1078.06"/>
    <n v="0"/>
    <n v="0"/>
    <n v="827.16"/>
    <n v="1110.75"/>
    <n v="1073.19"/>
    <n v="1078.06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MD3"/>
    <s v="AX1"/>
    <s v="T"/>
    <s v="B"/>
    <s v="S"/>
    <s v="60D8H"/>
    <n v="1116"/>
    <s v="2018-09-29"/>
    <s v="Historical averaged cost."/>
    <n v="88.590369999999993"/>
    <n v="97.04974"/>
    <n v="97.04974"/>
    <n v="97.04974"/>
    <n v="0"/>
    <n v="0"/>
    <n v="197.26302999999999"/>
    <n v="197.26302999999999"/>
    <n v="197.26302999999999"/>
    <n v="197.26302999999999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420006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AX1)-KRPUS-(AX1)"/>
    <s v="55D13H"/>
    <n v="3"/>
    <s v="DR"/>
    <s v="D"/>
    <s v="Y"/>
    <s v="Y"/>
    <x v="26"/>
    <s v="TAOYUAN"/>
    <x v="14"/>
    <s v="KEELU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3.13"/>
    <n v="1059.46"/>
    <n v="1015.73"/>
    <n v="1154.6600000000001"/>
    <n v="0"/>
    <n v="0"/>
    <n v="743.13"/>
    <n v="1059.46"/>
    <n v="1015.73"/>
    <n v="1154.6600000000001"/>
    <n v="0"/>
    <n v="0"/>
    <s v="TWTYN"/>
    <n v="164.08841713300001"/>
    <n v="243.34982496399999"/>
    <n v="196.21516179100001"/>
    <n v="231.78532232399999"/>
    <n v="0"/>
    <n v="0"/>
    <n v="164.08841713300001"/>
    <n v="243.34982496399999"/>
    <n v="196.21516179100001"/>
    <n v="231.785322323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515.45000000000005"/>
    <n v="758.1"/>
    <n v="786.63"/>
    <n v="0"/>
    <n v="0"/>
    <n v="0"/>
    <m/>
    <m/>
    <m/>
    <m/>
    <m/>
    <m/>
    <m/>
    <m/>
    <m/>
    <m/>
    <m/>
    <m/>
    <s v="AX1"/>
    <s v="AX1"/>
    <s v="T"/>
    <m/>
    <s v="T"/>
    <s v="53D19H"/>
    <n v="1118"/>
    <s v="2018-09-29"/>
    <m/>
    <n v="104.47851"/>
    <n v="138.19148000000001"/>
    <n v="138.19148000000001"/>
    <n v="138.19148000000001"/>
    <n v="0"/>
    <n v="0"/>
    <n v="83.143919999999994"/>
    <n v="83.143919999999994"/>
    <n v="83.143919999999994"/>
    <n v="83.143919999999994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78.400000000000006"/>
    <n v="116.48"/>
    <n v="110.32"/>
    <n v="180.88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1420002"/>
    <s v="OPUS"/>
    <n v="122"/>
    <n v="244"/>
    <n v="244"/>
    <x v="0"/>
    <x v="0"/>
    <x v="0"/>
    <m/>
    <m/>
    <m/>
    <x v="1"/>
    <x v="1"/>
    <x v="1"/>
    <x v="6"/>
    <x v="6"/>
    <x v="6"/>
    <m/>
    <m/>
    <m/>
    <n v="60"/>
    <n v="120"/>
    <n v="120"/>
    <x v="7"/>
    <x v="7"/>
    <n v="7.1732011812306018"/>
    <x v="3"/>
    <x v="5"/>
    <x v="5"/>
    <x v="8"/>
    <x v="8"/>
    <x v="8"/>
    <x v="0"/>
    <x v="0"/>
    <x v="0"/>
    <m/>
    <m/>
    <m/>
    <m/>
    <m/>
    <m/>
  </r>
  <r>
    <s v="LW"/>
    <s v="LWE"/>
    <s v="LWT"/>
    <s v="LW"/>
    <s v="AX1"/>
    <s v="E"/>
    <s v="(TUT)-LKCMB-(PS3)-SGSIN-(CSW)-KRPUS-(AX1)"/>
    <s v="63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93.89"/>
    <n v="950.39"/>
    <n v="1235.3399999999999"/>
    <n v="4995.87"/>
    <n v="0"/>
    <n v="0"/>
    <n v="693.89"/>
    <n v="950.39"/>
    <n v="1235.3399999999999"/>
    <n v="4995.8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1D12H"/>
    <n v="134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3)-KRPUS-(AX1)"/>
    <s v="78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24"/>
    <n v="1015.24"/>
    <n v="1300.19"/>
    <n v="4994.91"/>
    <n v="0"/>
    <n v="0"/>
    <n v="727.24"/>
    <n v="1015.24"/>
    <n v="1300.19"/>
    <n v="4994.9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3)-KRPUS-(AX1)"/>
    <s v="70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3.05"/>
    <n v="920.44"/>
    <n v="1205.3900000000001"/>
    <n v="4963.6099999999997"/>
    <n v="0"/>
    <n v="0"/>
    <n v="663.05"/>
    <n v="920.44"/>
    <n v="1205.3900000000001"/>
    <n v="4963.6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8D12H"/>
    <n v="151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2)-KRPUS-(AX1)"/>
    <s v="78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24"/>
    <n v="1015.24"/>
    <n v="1300.19"/>
    <n v="4994.91"/>
    <n v="0"/>
    <n v="0"/>
    <n v="727.24"/>
    <n v="1015.24"/>
    <n v="1300.19"/>
    <n v="4994.9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NCI)-SGSIN-(MD3)-KRPUS-(AX1)"/>
    <s v="70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9.9"/>
    <n v="1067.4000000000001"/>
    <n v="1348.57"/>
    <n v="5102.37"/>
    <n v="0"/>
    <n v="0"/>
    <n v="749.9"/>
    <n v="1067.4000000000001"/>
    <n v="1348.57"/>
    <n v="5102.3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8D3H"/>
    <n v="157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36.72970914000001"/>
    <n v="423.37377773999998"/>
    <n v="423.37377773999998"/>
    <n v="449.37377773999998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NCI)-SGSIN-(MD2)-KRPUS-(AX1)"/>
    <s v="70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9.9"/>
    <n v="1067.4000000000001"/>
    <n v="1348.57"/>
    <n v="5102.37"/>
    <n v="0"/>
    <n v="0"/>
    <n v="749.9"/>
    <n v="1067.4000000000001"/>
    <n v="1348.57"/>
    <n v="5102.3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8D3H"/>
    <n v="157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36.72970914000001"/>
    <n v="423.37377773999998"/>
    <n v="423.37377773999998"/>
    <n v="449.37377773999998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NCI)-SGSIN-(MD1)-KRPUS-(AX1)"/>
    <s v="70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9.9"/>
    <n v="1067.4000000000001"/>
    <n v="1348.57"/>
    <n v="5102.37"/>
    <n v="0"/>
    <n v="0"/>
    <n v="749.9"/>
    <n v="1067.4000000000001"/>
    <n v="1348.57"/>
    <n v="5102.3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8D3H"/>
    <n v="157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36.72970914000001"/>
    <n v="423.37377773999998"/>
    <n v="423.37377773999998"/>
    <n v="449.37377773999998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NCI)-SGSIN-(AGX)-KRPUS-(AX1)"/>
    <s v="77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9.9"/>
    <n v="1067.4000000000001"/>
    <n v="1348.57"/>
    <n v="5102.37"/>
    <n v="0"/>
    <n v="0"/>
    <n v="749.9"/>
    <n v="1067.4000000000001"/>
    <n v="1348.57"/>
    <n v="5102.3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75D3H"/>
    <n v="1743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36.72970914000001"/>
    <n v="423.37377773999998"/>
    <n v="423.37377773999998"/>
    <n v="449.37377773999998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NCI)-SGSIN-(ACE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2.93"/>
    <n v="1185.67"/>
    <n v="1466.84"/>
    <n v="5226.41"/>
    <n v="0"/>
    <n v="0"/>
    <n v="842.93"/>
    <n v="1185.67"/>
    <n v="1466.84"/>
    <n v="5226.4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29.76104814000001"/>
    <n v="541.64417039"/>
    <n v="541.64417039"/>
    <n v="573.41082693999999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FE5)-SGSIN-(NX2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29"/>
    <n v="1098.6199999999999"/>
    <n v="1379.79"/>
    <n v="5133.6000000000004"/>
    <n v="0"/>
    <n v="0"/>
    <n v="767.29"/>
    <n v="1098.6199999999999"/>
    <n v="1379.79"/>
    <n v="5133.6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54.12253189"/>
    <n v="454.60142323999997"/>
    <n v="454.60142323999997"/>
    <n v="480.60142323999997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4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PS3)-SGSIN-(MD2)-KRPUS-(AX1)"/>
    <s v="70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8D3H"/>
    <n v="157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PS3)-SGSIN-(MD3)-KRPUS-(AX1)"/>
    <s v="70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8D3H"/>
    <n v="157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PS3)-SGSIN-(NX2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TIP)-SGSIN-(ACE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8.66"/>
    <n v="1193.3699999999999"/>
    <n v="1474.54"/>
    <n v="5234.1099999999997"/>
    <n v="0"/>
    <n v="0"/>
    <n v="848.66"/>
    <n v="1193.3699999999999"/>
    <n v="1474.54"/>
    <n v="5234.1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35.49004814"/>
    <n v="549.34417039000004"/>
    <n v="549.34417039000004"/>
    <n v="581.11082694000004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2)-KRPUS-(AX1)"/>
    <s v="78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3)-KRPUS-(AX1)"/>
    <s v="70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3.21"/>
    <n v="880.3"/>
    <n v="1165.25"/>
    <n v="4923.47"/>
    <n v="0"/>
    <n v="0"/>
    <n v="643.21"/>
    <n v="880.3"/>
    <n v="1165.25"/>
    <n v="4923.4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8D12H"/>
    <n v="151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2)-KRPUS-(AX1)"/>
    <s v="70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3.21"/>
    <n v="880.3"/>
    <n v="1165.25"/>
    <n v="4923.47"/>
    <n v="0"/>
    <n v="0"/>
    <n v="643.21"/>
    <n v="880.3"/>
    <n v="1165.25"/>
    <n v="4923.4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8D12H"/>
    <n v="151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1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CSW)-KRPUS-(AX1)"/>
    <s v="71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8.09"/>
    <n v="1045.18"/>
    <n v="1330.13"/>
    <n v="5027.16"/>
    <n v="0"/>
    <n v="0"/>
    <n v="758.09"/>
    <n v="1045.18"/>
    <n v="1330.13"/>
    <n v="5027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93.13746614000002"/>
    <n v="501.16048444"/>
    <n v="501.16048444"/>
    <n v="529.4724824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FE5)-SGSIN-(MD3)-KRPUS-(AX1)"/>
    <s v="70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29"/>
    <n v="1098.6199999999999"/>
    <n v="1379.79"/>
    <n v="5133.6000000000004"/>
    <n v="0"/>
    <n v="0"/>
    <n v="767.29"/>
    <n v="1098.6199999999999"/>
    <n v="1379.79"/>
    <n v="5133.6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8D3H"/>
    <n v="157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54.12253189"/>
    <n v="454.60142323999997"/>
    <n v="454.60142323999997"/>
    <n v="480.60142323999997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4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FE5)-SGSIN-(MD2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29"/>
    <n v="1098.6199999999999"/>
    <n v="1379.79"/>
    <n v="5133.6000000000004"/>
    <n v="0"/>
    <n v="0"/>
    <n v="767.29"/>
    <n v="1098.6199999999999"/>
    <n v="1379.79"/>
    <n v="5133.6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54.12253189"/>
    <n v="454.60142323999997"/>
    <n v="454.60142323999997"/>
    <n v="480.60142323999997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4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FE5)-SGSIN-(MD1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29"/>
    <n v="1098.6199999999999"/>
    <n v="1379.79"/>
    <n v="5133.6000000000004"/>
    <n v="0"/>
    <n v="0"/>
    <n v="767.29"/>
    <n v="1098.6199999999999"/>
    <n v="1379.79"/>
    <n v="5133.6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54.12253189"/>
    <n v="454.60142323999997"/>
    <n v="454.60142323999997"/>
    <n v="480.60142323999997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4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FE5)-SGSIN-(AGX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67.29"/>
    <n v="1098.6199999999999"/>
    <n v="1379.79"/>
    <n v="5133.6000000000004"/>
    <n v="0"/>
    <n v="0"/>
    <n v="767.29"/>
    <n v="1098.6199999999999"/>
    <n v="1379.79"/>
    <n v="5133.60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54.12253189"/>
    <n v="454.60142323999997"/>
    <n v="454.60142323999997"/>
    <n v="480.60142323999997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4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MD1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MD2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MD3)-KRPUS-(AX1)"/>
    <s v="78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FE5)-SGSIN-(ACE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60.33"/>
    <n v="1216.8900000000001"/>
    <n v="1498.06"/>
    <n v="5257.64"/>
    <n v="0"/>
    <n v="0"/>
    <n v="860.33"/>
    <n v="1216.8900000000001"/>
    <n v="1498.06"/>
    <n v="5257.6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47.15387089000001"/>
    <n v="572.87181588999999"/>
    <n v="572.87181588999999"/>
    <n v="604.63847243999999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4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NX2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2)-KRPUS-(AX1)"/>
    <s v="70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3.05"/>
    <n v="920.44"/>
    <n v="1205.3900000000001"/>
    <n v="4963.6099999999997"/>
    <n v="0"/>
    <n v="0"/>
    <n v="663.05"/>
    <n v="920.44"/>
    <n v="1205.3900000000001"/>
    <n v="4963.6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8D12H"/>
    <n v="151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MD1)-KRPUS-(AX1)"/>
    <s v="78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24"/>
    <n v="1015.24"/>
    <n v="1300.19"/>
    <n v="4994.91"/>
    <n v="0"/>
    <n v="0"/>
    <n v="727.24"/>
    <n v="1015.24"/>
    <n v="1300.19"/>
    <n v="4994.9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CSW)-KRPUS-(AX1)"/>
    <s v="78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77.92"/>
    <n v="1085.33"/>
    <n v="1370.27"/>
    <n v="5067.3"/>
    <n v="0"/>
    <n v="0"/>
    <n v="777.92"/>
    <n v="1085.33"/>
    <n v="1370.27"/>
    <n v="5067.3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CSW)-KRPUS-(AX1)"/>
    <s v="70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3.72"/>
    <n v="990.53"/>
    <n v="1275.48"/>
    <n v="5036.01"/>
    <n v="0"/>
    <n v="0"/>
    <n v="713.72"/>
    <n v="990.53"/>
    <n v="1275.48"/>
    <n v="5036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8D12H"/>
    <n v="151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412.96946614000001"/>
    <n v="541.30248443999994"/>
    <n v="541.30248443999994"/>
    <n v="569.61448243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TIP)-SGSIN-(NX2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TIP)-SGSIN-(MD3)-KRPUS-(AX1)"/>
    <s v="70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8D3H"/>
    <n v="1575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AGX)-KRPUS-(AX1)"/>
    <s v="85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24"/>
    <n v="1015.24"/>
    <n v="1300.19"/>
    <n v="4994.91"/>
    <n v="0"/>
    <n v="0"/>
    <n v="727.24"/>
    <n v="1015.24"/>
    <n v="1300.19"/>
    <n v="4994.9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83D17H"/>
    <n v="182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4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TIP)-SGSIN-(MD2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ACE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0.27"/>
    <n v="1133.51"/>
    <n v="1418.46"/>
    <n v="5118.9399999999996"/>
    <n v="0"/>
    <n v="0"/>
    <n v="820.27"/>
    <n v="1133.51"/>
    <n v="1418.46"/>
    <n v="5118.93999999999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55.32204813999999"/>
    <n v="589.48617038999998"/>
    <n v="589.48617038999998"/>
    <n v="621.2528269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4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NX2)-KRPUS-(AX1)"/>
    <s v="71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.39"/>
    <n v="1021.49"/>
    <n v="1306.44"/>
    <n v="5001.16"/>
    <n v="0"/>
    <n v="0"/>
    <n v="731.39"/>
    <n v="1021.49"/>
    <n v="1306.44"/>
    <n v="500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PS3)-SGSIN-(AGX)-KRPUS-(AX1)"/>
    <s v="77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75D3H"/>
    <n v="1743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PS3)-SGSIN-(MD1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NX2)-KRPUS-(AX1)"/>
    <s v="63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19"/>
    <n v="926.69"/>
    <n v="1211.6400000000001"/>
    <n v="4969.8599999999997"/>
    <n v="0"/>
    <n v="0"/>
    <n v="667.19"/>
    <n v="926.69"/>
    <n v="1211.6400000000001"/>
    <n v="4969.8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1D12H"/>
    <n v="134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TIP)-SGSIN-(MD1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3)-KRPUS-(AX1)"/>
    <s v="78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.39"/>
    <n v="1021.49"/>
    <n v="1306.44"/>
    <n v="5001.16"/>
    <n v="0"/>
    <n v="0"/>
    <n v="731.39"/>
    <n v="1021.49"/>
    <n v="1306.44"/>
    <n v="500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TIP)-SGSIN-(AGX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55.63"/>
    <n v="1075.0999999999999"/>
    <n v="1356.27"/>
    <n v="5110.07"/>
    <n v="0"/>
    <n v="0"/>
    <n v="755.63"/>
    <n v="1075.0999999999999"/>
    <n v="1356.27"/>
    <n v="5110.0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9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3)-KRPUS-(AX1)"/>
    <s v="70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19"/>
    <n v="926.69"/>
    <n v="1211.6400000000001"/>
    <n v="4969.8599999999997"/>
    <n v="0"/>
    <n v="0"/>
    <n v="667.19"/>
    <n v="926.69"/>
    <n v="1211.6400000000001"/>
    <n v="4969.8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8D12H"/>
    <n v="1516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2)-KRPUS-(AX1)"/>
    <s v="71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.39"/>
    <n v="1021.49"/>
    <n v="1306.44"/>
    <n v="5001.16"/>
    <n v="0"/>
    <n v="0"/>
    <n v="731.39"/>
    <n v="1021.49"/>
    <n v="1306.44"/>
    <n v="500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2)-KRPUS-(AX1)"/>
    <s v="63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19"/>
    <n v="926.69"/>
    <n v="1211.6400000000001"/>
    <n v="4969.8599999999997"/>
    <n v="0"/>
    <n v="0"/>
    <n v="667.19"/>
    <n v="926.69"/>
    <n v="1211.6400000000001"/>
    <n v="4969.8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1D12H"/>
    <n v="134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MD1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.39"/>
    <n v="1021.49"/>
    <n v="1306.44"/>
    <n v="5001.16"/>
    <n v="0"/>
    <n v="0"/>
    <n v="731.39"/>
    <n v="1021.49"/>
    <n v="1306.44"/>
    <n v="500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8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CSW)-KRPUS-(AX1)"/>
    <s v="71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2.07"/>
    <n v="1091.58"/>
    <n v="1376.53"/>
    <n v="5073.5600000000004"/>
    <n v="0"/>
    <n v="0"/>
    <n v="782.07"/>
    <n v="1091.58"/>
    <n v="1376.53"/>
    <n v="5073.5600000000004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CSW)-KRPUS-(AX1)"/>
    <s v="63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7.87"/>
    <n v="996.78"/>
    <n v="1281.73"/>
    <n v="5042.26"/>
    <n v="0"/>
    <n v="0"/>
    <n v="717.87"/>
    <n v="996.78"/>
    <n v="1281.73"/>
    <n v="5042.2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1D12H"/>
    <n v="134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417.11346614000001"/>
    <n v="547.55448444000001"/>
    <n v="547.55448444000001"/>
    <n v="575.8664824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AGX)-KRPUS-(AX1)"/>
    <s v="63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7.19"/>
    <n v="926.69"/>
    <n v="1211.6400000000001"/>
    <n v="4969.8599999999997"/>
    <n v="0"/>
    <n v="0"/>
    <n v="667.19"/>
    <n v="926.69"/>
    <n v="1211.6400000000001"/>
    <n v="4969.85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1D12H"/>
    <n v="134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AGX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31.39"/>
    <n v="1021.49"/>
    <n v="1306.44"/>
    <n v="5001.16"/>
    <n v="0"/>
    <n v="0"/>
    <n v="731.39"/>
    <n v="1021.49"/>
    <n v="1306.44"/>
    <n v="5001.1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6.43470914"/>
    <n v="477.46777773999997"/>
    <n v="477.46777773999997"/>
    <n v="503.46777773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MD3)-KRPUS-(AX1)"/>
    <s v="78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76D17H"/>
    <n v="1659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NX2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SW2)-CNSHA-(AX1)"/>
    <s v="63D0H"/>
    <n v="2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6.4"/>
    <n v="818.84"/>
    <n v="1104.48"/>
    <n v="4801.71"/>
    <n v="0"/>
    <n v="0"/>
    <n v="546.4"/>
    <n v="818.84"/>
    <n v="1104.48"/>
    <n v="4801.7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61D12H"/>
    <n v="1348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45.64460144"/>
    <n v="369.60940213999999"/>
    <n v="370.29940213999998"/>
    <n v="335.315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AGX)-KRPUS-(AX1)"/>
    <s v="85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83D17H"/>
    <n v="182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0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NCI)-SGSIN-(NX2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49.9"/>
    <n v="1067.4000000000001"/>
    <n v="1348.57"/>
    <n v="5102.37"/>
    <n v="0"/>
    <n v="0"/>
    <n v="749.9"/>
    <n v="1067.4000000000001"/>
    <n v="1348.57"/>
    <n v="5102.3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36.72970914000001"/>
    <n v="423.37377773999998"/>
    <n v="423.37377773999998"/>
    <n v="449.37377773999998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6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SW2)-CNSHA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0.6"/>
    <n v="913.63"/>
    <n v="1199.27"/>
    <n v="4833.01"/>
    <n v="0"/>
    <n v="0"/>
    <n v="610.6"/>
    <n v="913.63"/>
    <n v="1199.27"/>
    <n v="4833.0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45.64460144"/>
    <n v="369.60940213999999"/>
    <n v="370.29940213999998"/>
    <n v="335.315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5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ACE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0.44"/>
    <n v="1093.3699999999999"/>
    <n v="1378.32"/>
    <n v="5078.8"/>
    <n v="0"/>
    <n v="0"/>
    <n v="800.44"/>
    <n v="1093.3699999999999"/>
    <n v="1378.32"/>
    <n v="5078.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35.49004814"/>
    <n v="549.34417039000004"/>
    <n v="549.34417039000004"/>
    <n v="581.110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7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S3)-SGSIN-(ACE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00.44"/>
    <n v="1093.3699999999999"/>
    <n v="1378.32"/>
    <n v="5078.8"/>
    <n v="0"/>
    <n v="0"/>
    <n v="800.44"/>
    <n v="1093.3699999999999"/>
    <n v="1378.32"/>
    <n v="5078.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35.49004814"/>
    <n v="549.34417039000004"/>
    <n v="549.34417039000004"/>
    <n v="581.110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MX)-CNSHA-(AX1)"/>
    <s v="85D23H"/>
    <n v="1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0.04"/>
    <n v="913.8"/>
    <n v="1199.44"/>
    <n v="4833.17"/>
    <n v="0"/>
    <n v="0"/>
    <n v="610.04"/>
    <n v="913.8"/>
    <n v="1199.44"/>
    <n v="4833.1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83D17H"/>
    <n v="182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245.08560144"/>
    <n v="369.77540213999998"/>
    <n v="370.46540213999998"/>
    <n v="335.481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1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FDR)-LKCMB-(PS3)-SGSIN-(ACE)-KRPUS-(AX1)"/>
    <s v="63D9H"/>
    <n v="3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48.66"/>
    <n v="1193.3699999999999"/>
    <n v="1474.54"/>
    <n v="5234.1099999999997"/>
    <n v="0"/>
    <n v="0"/>
    <n v="848.66"/>
    <n v="1193.3699999999999"/>
    <n v="1474.54"/>
    <n v="5234.1099999999997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FDR"/>
    <s v="AX1"/>
    <m/>
    <s v="B"/>
    <s v="T"/>
    <s v="61D3H"/>
    <n v="1407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35.49004814"/>
    <n v="549.34417039000004"/>
    <n v="549.34417039000004"/>
    <n v="581.11082694000004"/>
    <n v="0"/>
    <n v="0"/>
    <n v="48.22"/>
    <n v="100"/>
    <n v="96.22"/>
    <n v="155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463990054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AGX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3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TIP)-SGSIN-(AR1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07.41"/>
    <n v="975.1"/>
    <n v="1260.05"/>
    <n v="4954.76"/>
    <n v="0"/>
    <n v="0"/>
    <n v="707.41"/>
    <n v="975.1"/>
    <n v="1260.05"/>
    <n v="4954.7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42.45870914"/>
    <n v="431.07377774000003"/>
    <n v="431.07377774000003"/>
    <n v="457.07377774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43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PMX)-CNSHA-(AX1)"/>
    <s v="77D0H"/>
    <n v="1"/>
    <s v="DR"/>
    <s v="D"/>
    <s v="Y"/>
    <s v="Y"/>
    <x v="52"/>
    <s v="TUTICORIN"/>
    <x v="33"/>
    <s v="TUTICOR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5.84"/>
    <n v="819"/>
    <n v="1104.6400000000001"/>
    <n v="4801.88"/>
    <n v="0"/>
    <n v="0"/>
    <n v="545.84"/>
    <n v="819"/>
    <n v="1104.6400000000001"/>
    <n v="4801.88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m/>
    <s v="S"/>
    <s v="75D12H"/>
    <n v="1684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245.08560144"/>
    <n v="369.77540213999998"/>
    <n v="370.46540213999998"/>
    <n v="335.4819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01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NCI)-SGSIN-(NX2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27.24"/>
    <n v="1015.24"/>
    <n v="1300.19"/>
    <n v="4994.91"/>
    <n v="0"/>
    <n v="0"/>
    <n v="727.24"/>
    <n v="1015.24"/>
    <n v="1300.19"/>
    <n v="4994.91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362.29070913999999"/>
    <n v="471.21577774000002"/>
    <n v="471.21577774000002"/>
    <n v="497.21577774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42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TUT)-LKCMB-(FE5)-SGSIN-(ACE)-KRPUS-(AX1)"/>
    <s v="71D23H"/>
    <n v="2"/>
    <s v="DR"/>
    <s v="D"/>
    <s v="Y"/>
    <s v="Y"/>
    <x v="52"/>
    <s v="TUTICORIN"/>
    <x v="33"/>
    <s v="TUTICOR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24.42"/>
    <n v="1139.76"/>
    <n v="1424.71"/>
    <n v="5125.1899999999996"/>
    <n v="0"/>
    <n v="0"/>
    <n v="824.42"/>
    <n v="1139.76"/>
    <n v="1424.71"/>
    <n v="5125.1899999999996"/>
    <n v="0"/>
    <n v="0"/>
    <s v="INTUT"/>
    <n v="14.554162314999999"/>
    <n v="23.281324952999999"/>
    <n v="298.73919883999997"/>
    <n v="4015.506020588"/>
    <n v="0"/>
    <n v="0"/>
    <n v="14.554162314999999"/>
    <n v="23.281324952999999"/>
    <n v="298.73919883999997"/>
    <n v="4015.50602058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384.18"/>
    <n v="600.04"/>
    <n v="600.04"/>
    <n v="0"/>
    <n v="0"/>
    <n v="0"/>
    <m/>
    <m/>
    <m/>
    <m/>
    <m/>
    <m/>
    <m/>
    <m/>
    <m/>
    <m/>
    <m/>
    <m/>
    <s v="TUT"/>
    <s v="AX1"/>
    <m/>
    <s v="B"/>
    <s v="S"/>
    <s v="69D17H"/>
    <n v="1491"/>
    <s v="2018-09-29"/>
    <s v="Historical averaged cost."/>
    <n v="76.844999999999999"/>
    <n v="94.655000000000001"/>
    <n v="94.575000000000003"/>
    <n v="77.224999999999994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459.46604814"/>
    <n v="595.73817039000005"/>
    <n v="595.73817039000005"/>
    <n v="627.50482694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"/>
    <s v="Y"/>
    <s v="Y"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463990026"/>
    <s v="OPUS"/>
    <n v="122"/>
    <n v="244"/>
    <n v="244"/>
    <x v="0"/>
    <x v="0"/>
    <x v="0"/>
    <n v="60"/>
    <n v="120"/>
    <n v="120"/>
    <x v="0"/>
    <x v="0"/>
    <x v="0"/>
    <x v="0"/>
    <x v="0"/>
    <x v="0"/>
    <m/>
    <m/>
    <m/>
    <m/>
    <m/>
    <m/>
    <x v="0"/>
    <x v="0"/>
    <n v="5"/>
    <x v="3"/>
    <x v="5"/>
    <x v="5"/>
    <x v="20"/>
    <x v="22"/>
    <x v="22"/>
    <x v="0"/>
    <x v="0"/>
    <x v="0"/>
    <m/>
    <m/>
    <m/>
    <m/>
    <m/>
    <m/>
  </r>
  <r>
    <s v="LW"/>
    <s v="LWE"/>
    <s v="LWT"/>
    <s v="LW"/>
    <s v="AX1"/>
    <s v="E"/>
    <s v="(AX1)"/>
    <s v="42D13H"/>
    <n v="1"/>
    <s v="DR"/>
    <s v="D"/>
    <s v="Y"/>
    <s v="Y"/>
    <x v="27"/>
    <s v="WUHAN, HUBEI"/>
    <x v="3"/>
    <s v="SHANGHAI, SHANGHAI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897.6"/>
    <n v="1379.44"/>
    <n v="1414.08"/>
    <n v="1714.67"/>
    <n v="0"/>
    <n v="0"/>
    <n v="897.6"/>
    <n v="1379.44"/>
    <n v="1414.08"/>
    <n v="1714.67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F"/>
    <m/>
    <s v="S"/>
    <s v="40D20H"/>
    <n v="780"/>
    <s v="2018-09-29"/>
    <m/>
    <n v="99.140680000000003"/>
    <n v="148.71053000000001"/>
    <n v="148.71053000000001"/>
    <n v="179.43451999999999"/>
    <n v="0"/>
    <n v="0"/>
    <n v="250"/>
    <n v="427"/>
    <n v="427"/>
    <n v="534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43980001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AX1)"/>
    <s v="51D12H"/>
    <n v="1"/>
    <s v="DR"/>
    <s v="D"/>
    <s v="Y"/>
    <s v="Y"/>
    <x v="27"/>
    <s v="WUHAN, HUBEI"/>
    <x v="3"/>
    <s v="SHANGHAI, SHANGHAI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974.4"/>
    <n v="1492.96"/>
    <n v="1526.61"/>
    <n v="1775.03"/>
    <n v="0"/>
    <n v="0"/>
    <n v="974.4"/>
    <n v="1492.96"/>
    <n v="1526.61"/>
    <n v="1775.03"/>
    <n v="0"/>
    <n v="0"/>
    <s v="CNWUH"/>
    <n v="278.90296011700002"/>
    <n v="383.00265260100002"/>
    <n v="412.79886423200003"/>
    <n v="488.68050722599997"/>
    <n v="0"/>
    <n v="0"/>
    <n v="278.90296011700002"/>
    <n v="383.00265260100002"/>
    <n v="412.79886423200003"/>
    <n v="488.68050722599997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1.38"/>
    <n v="671.1"/>
    <n v="671.1"/>
    <n v="0"/>
    <n v="0"/>
    <n v="0"/>
    <m/>
    <m/>
    <m/>
    <m/>
    <m/>
    <m/>
    <m/>
    <m/>
    <m/>
    <m/>
    <m/>
    <m/>
    <s v="AX1"/>
    <s v="AX1"/>
    <s v="B"/>
    <s v="B"/>
    <s v="S"/>
    <s v="49D1H"/>
    <n v="923"/>
    <s v="2018-09-29"/>
    <s v="Historical averaged cost."/>
    <n v="99.140680000000003"/>
    <n v="148.71053000000001"/>
    <n v="148.71053000000001"/>
    <n v="179.43451999999999"/>
    <n v="0"/>
    <n v="0"/>
    <n v="250"/>
    <n v="427"/>
    <n v="427"/>
    <n v="534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743980003"/>
    <s v="OPUS"/>
    <n v="122"/>
    <n v="244"/>
    <n v="244"/>
    <x v="0"/>
    <x v="0"/>
    <x v="0"/>
    <m/>
    <m/>
    <m/>
    <x v="0"/>
    <x v="0"/>
    <x v="0"/>
    <x v="2"/>
    <x v="2"/>
    <x v="2"/>
    <n v="1.4630470881705331"/>
    <n v="2.194570632255799"/>
    <n v="2.194570632255799"/>
    <n v="60"/>
    <n v="120"/>
    <n v="120"/>
    <x v="2"/>
    <x v="2"/>
    <n v="2.9260941763410662"/>
    <x v="3"/>
    <x v="5"/>
    <x v="5"/>
    <x v="2"/>
    <x v="2"/>
    <x v="2"/>
    <x v="0"/>
    <x v="0"/>
    <x v="0"/>
    <m/>
    <m/>
    <m/>
    <m/>
    <m/>
    <m/>
  </r>
  <r>
    <s v="LW"/>
    <s v="LWE"/>
    <s v="LWT"/>
    <s v="LW"/>
    <s v="AX1"/>
    <s v="E"/>
    <s v="(EC3)-HKHKG-(AX1)"/>
    <s v="46D12H"/>
    <n v="2"/>
    <s v="DR"/>
    <s v="D"/>
    <s v="Y"/>
    <s v="Y"/>
    <x v="28"/>
    <s v="XIAMEN, FUJIAN"/>
    <x v="11"/>
    <s v="XIAMEN, FUJI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5.37"/>
    <n v="966"/>
    <n v="924.02"/>
    <n v="1264.1500000000001"/>
    <n v="0"/>
    <n v="0"/>
    <n v="635.37"/>
    <n v="966"/>
    <n v="924.02"/>
    <n v="1264.1500000000001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06"/>
    <n v="670.22"/>
    <n v="670.22"/>
    <n v="0"/>
    <n v="0"/>
    <n v="0"/>
    <m/>
    <m/>
    <m/>
    <m/>
    <m/>
    <m/>
    <m/>
    <m/>
    <m/>
    <m/>
    <m/>
    <m/>
    <s v="EC3"/>
    <s v="AX1"/>
    <m/>
    <m/>
    <s v="S"/>
    <s v="45D0H"/>
    <n v="1024"/>
    <s v="2018-09-29"/>
    <m/>
    <n v="74.504000000000005"/>
    <n v="111.32866"/>
    <n v="111.32866"/>
    <n v="138.17556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7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4"/>
    <x v="4"/>
    <x v="4"/>
    <x v="0"/>
    <x v="0"/>
    <x v="0"/>
    <m/>
    <m/>
    <m/>
    <m/>
    <m/>
    <m/>
  </r>
  <r>
    <s v="LW"/>
    <s v="LWE"/>
    <s v="LWT"/>
    <s v="LW"/>
    <s v="AX1"/>
    <s v="E"/>
    <s v="(AX2)-KRPUS-(AX1)"/>
    <s v="54D6H"/>
    <n v="1"/>
    <s v="DR"/>
    <s v="D"/>
    <s v="Y"/>
    <s v="Y"/>
    <x v="28"/>
    <s v="XIAMEN, FUJIAN"/>
    <x v="11"/>
    <s v="XIAMEN, FUJIA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8.02"/>
    <n v="1072.45"/>
    <n v="1029.69"/>
    <n v="1277.83"/>
    <n v="0"/>
    <n v="0"/>
    <n v="718.02"/>
    <n v="1072.45"/>
    <n v="1029.69"/>
    <n v="1277.83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06"/>
    <n v="670.22"/>
    <n v="670.22"/>
    <n v="0"/>
    <n v="0"/>
    <n v="0"/>
    <m/>
    <m/>
    <m/>
    <m/>
    <m/>
    <m/>
    <m/>
    <m/>
    <m/>
    <m/>
    <m/>
    <m/>
    <s v="AX2"/>
    <s v="AX1"/>
    <m/>
    <s v="B"/>
    <s v="S"/>
    <s v="52D1H"/>
    <n v="1150"/>
    <s v="2018-09-29"/>
    <s v="Historical averaged cost."/>
    <n v="74.504000000000005"/>
    <n v="111.32866"/>
    <n v="111.32866"/>
    <n v="138.17556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75.599999999999994"/>
    <n v="112.32"/>
    <n v="106.38"/>
    <n v="174.42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7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4"/>
    <x v="4"/>
    <x v="4"/>
    <x v="0"/>
    <x v="0"/>
    <x v="0"/>
    <m/>
    <m/>
    <m/>
    <m/>
    <m/>
    <m/>
  </r>
  <r>
    <s v="LW"/>
    <s v="LWE"/>
    <s v="LWT"/>
    <s v="LW"/>
    <s v="AX1"/>
    <s v="E"/>
    <s v="(AX2)-KRPUS-(AX1)"/>
    <s v="45D7H"/>
    <n v="1"/>
    <s v="DR"/>
    <s v="D"/>
    <s v="Y"/>
    <s v="Y"/>
    <x v="28"/>
    <s v="XIAMEN, FUJIAN"/>
    <x v="11"/>
    <s v="XIAMEN, FUJI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41.22"/>
    <n v="958.93"/>
    <n v="917.16"/>
    <n v="1217.47"/>
    <n v="0"/>
    <n v="0"/>
    <n v="641.22"/>
    <n v="958.93"/>
    <n v="917.16"/>
    <n v="1217.47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06"/>
    <n v="670.22"/>
    <n v="670.22"/>
    <n v="0"/>
    <n v="0"/>
    <n v="0"/>
    <m/>
    <m/>
    <m/>
    <m/>
    <m/>
    <m/>
    <m/>
    <m/>
    <m/>
    <m/>
    <m/>
    <m/>
    <s v="AX2"/>
    <s v="AX1"/>
    <m/>
    <m/>
    <s v="S"/>
    <s v="43D20H"/>
    <n v="1007"/>
    <s v="2018-09-29"/>
    <m/>
    <n v="74.504000000000005"/>
    <n v="111.32866"/>
    <n v="111.32866"/>
    <n v="138.17556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54.344471"/>
    <n v="217.08648930000001"/>
    <n v="217.08648930000001"/>
    <n v="219.3984873"/>
    <n v="0"/>
    <n v="0"/>
    <n v="0"/>
    <n v="0"/>
    <n v="0"/>
    <n v="0"/>
    <n v="0"/>
    <n v="0"/>
    <n v="0"/>
    <n v="0"/>
    <n v="0"/>
    <n v="0"/>
    <n v="0"/>
    <n v="0"/>
    <n v="63"/>
    <n v="93.6"/>
    <n v="88.65"/>
    <n v="145.35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7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4"/>
    <x v="4"/>
    <x v="4"/>
    <x v="0"/>
    <x v="0"/>
    <x v="0"/>
    <m/>
    <m/>
    <m/>
    <m/>
    <m/>
    <m/>
  </r>
  <r>
    <s v="LW"/>
    <s v="LWE"/>
    <s v="LWT"/>
    <s v="LW"/>
    <s v="AX1"/>
    <s v="E"/>
    <s v="(SAS)-HKHKG-(AX1)"/>
    <s v="46D12H"/>
    <n v="1"/>
    <s v="DR"/>
    <s v="D"/>
    <s v="Y"/>
    <s v="Y"/>
    <x v="28"/>
    <s v="XIAMEN, FUJIAN"/>
    <x v="11"/>
    <s v="XIAMEN, FUJI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5.22"/>
    <n v="965.85"/>
    <n v="923.86"/>
    <n v="1264"/>
    <n v="0"/>
    <n v="0"/>
    <n v="635.22"/>
    <n v="965.85"/>
    <n v="923.86"/>
    <n v="1264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06"/>
    <n v="670.22"/>
    <n v="670.22"/>
    <n v="0"/>
    <n v="0"/>
    <n v="0"/>
    <m/>
    <m/>
    <m/>
    <m/>
    <m/>
    <m/>
    <m/>
    <m/>
    <m/>
    <m/>
    <m/>
    <m/>
    <s v="SAS"/>
    <s v="AX1"/>
    <m/>
    <m/>
    <s v="S"/>
    <s v="45D0H"/>
    <n v="1032"/>
    <s v="2018-09-29"/>
    <m/>
    <n v="74.352999999999994"/>
    <n v="111.17766"/>
    <n v="111.17766"/>
    <n v="138.02457000000001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70002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4"/>
    <x v="4"/>
    <x v="4"/>
    <x v="0"/>
    <x v="0"/>
    <x v="0"/>
    <m/>
    <m/>
    <m/>
    <m/>
    <m/>
    <m/>
  </r>
  <r>
    <s v="LW"/>
    <s v="LWE"/>
    <s v="LWT"/>
    <s v="LW"/>
    <s v="AX1"/>
    <s v="E"/>
    <s v="(CAE)-HKHKG-(AX1)"/>
    <s v="47D7H"/>
    <n v="2"/>
    <s v="DR"/>
    <s v="D"/>
    <s v="Y"/>
    <s v="Y"/>
    <x v="28"/>
    <s v="XIAMEN, FUJIAN"/>
    <x v="11"/>
    <s v="XIAMEN, FUJIA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32.41"/>
    <n v="962.06"/>
    <n v="920.07"/>
    <n v="1260.21"/>
    <n v="0"/>
    <n v="0"/>
    <n v="632.41"/>
    <n v="962.06"/>
    <n v="920.07"/>
    <n v="1260.21"/>
    <n v="0"/>
    <n v="0"/>
    <s v="CNXMN"/>
    <n v="140.015547134"/>
    <n v="205.624328109"/>
    <n v="159.235181555"/>
    <n v="340.87917140100001"/>
    <n v="0"/>
    <n v="0"/>
    <n v="140.015547134"/>
    <n v="205.624328109"/>
    <n v="159.235181555"/>
    <n v="340.879171401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30.06"/>
    <n v="670.22"/>
    <n v="670.22"/>
    <n v="0"/>
    <n v="0"/>
    <n v="0"/>
    <m/>
    <m/>
    <m/>
    <m/>
    <m/>
    <m/>
    <m/>
    <m/>
    <m/>
    <m/>
    <m/>
    <m/>
    <s v="CAE"/>
    <s v="AX1"/>
    <m/>
    <m/>
    <s v="S"/>
    <s v="45D19H"/>
    <n v="1071"/>
    <s v="2018-09-29"/>
    <m/>
    <n v="71.543000000000006"/>
    <n v="107.38766"/>
    <n v="107.38766"/>
    <n v="134.23456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45.69402975"/>
    <n v="220.00054462"/>
    <n v="220.00054462"/>
    <n v="259.62382925999998"/>
    <n v="0"/>
    <n v="0"/>
    <n v="0"/>
    <n v="0"/>
    <n v="0"/>
    <n v="0"/>
    <n v="0"/>
    <n v="0"/>
    <n v="0"/>
    <n v="0"/>
    <n v="0"/>
    <n v="0"/>
    <n v="0"/>
    <n v="0"/>
    <n v="65.8"/>
    <n v="97.76"/>
    <n v="92.59"/>
    <n v="151.8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41970003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4"/>
    <x v="4"/>
    <x v="4"/>
    <x v="0"/>
    <x v="0"/>
    <x v="0"/>
    <m/>
    <m/>
    <m/>
    <m/>
    <m/>
    <m/>
  </r>
  <r>
    <s v="LW"/>
    <s v="LWE"/>
    <s v="LWT"/>
    <s v="LW"/>
    <s v="AX1"/>
    <s v="E"/>
    <s v="(7K3)-KRPUS-(AX1)"/>
    <s v="49D6H"/>
    <n v="3"/>
    <s v="DR"/>
    <s v="D"/>
    <s v="Y"/>
    <s v="Y"/>
    <x v="30"/>
    <s v="XINGANG, TIANJIN"/>
    <x v="19"/>
    <s v="XINGANG, TIANJ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58.83000000000004"/>
    <n v="879.82"/>
    <n v="842.37"/>
    <n v="776.62"/>
    <n v="0"/>
    <n v="0"/>
    <n v="558.83000000000004"/>
    <n v="879.82"/>
    <n v="842.37"/>
    <n v="776.62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8.6"/>
    <n v="666.86"/>
    <n v="666.86"/>
    <n v="0"/>
    <n v="0"/>
    <n v="0"/>
    <m/>
    <m/>
    <m/>
    <m/>
    <m/>
    <m/>
    <m/>
    <m/>
    <m/>
    <m/>
    <m/>
    <m/>
    <s v="7K3"/>
    <s v="AX1"/>
    <m/>
    <s v="B"/>
    <s v="T"/>
    <s v="47D0H"/>
    <n v="1033"/>
    <s v="2018-09-29"/>
    <s v="Historical averaged cost."/>
    <n v="0.11"/>
    <n v="0.16500000000000001"/>
    <n v="0.16500000000000001"/>
    <n v="0.16500000000000001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51.839857000000002"/>
    <n v="73.509891300000007"/>
    <n v="73.509891300000007"/>
    <n v="73.509891300000007"/>
    <n v="0"/>
    <n v="0"/>
    <n v="59.09"/>
    <n v="100"/>
    <n v="100"/>
    <n v="1"/>
    <n v="0"/>
    <n v="0"/>
    <n v="0"/>
    <n v="0"/>
    <n v="0"/>
    <n v="0"/>
    <n v="0"/>
    <n v="0"/>
    <n v="68.599999999999994"/>
    <n v="101.92"/>
    <n v="96.53"/>
    <n v="158.27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s v="P180929013656406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4"/>
    <x v="17"/>
    <x v="17"/>
    <x v="0"/>
    <x v="0"/>
    <x v="0"/>
    <m/>
    <m/>
    <m/>
    <m/>
    <m/>
    <m/>
  </r>
  <r>
    <s v="LW"/>
    <s v="LWE"/>
    <s v="LWT"/>
    <s v="LW"/>
    <s v="AX1"/>
    <s v="E"/>
    <s v="(BHX)-KRPUS-(AX1)"/>
    <s v="46D6H"/>
    <n v="1"/>
    <s v="DR"/>
    <s v="D"/>
    <s v="Y"/>
    <s v="Y"/>
    <x v="30"/>
    <s v="XINGANG, TIANJIN"/>
    <x v="19"/>
    <s v="XINGANG, TIANJIN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18.11"/>
    <n v="953.19"/>
    <n v="916.07"/>
    <n v="975.57"/>
    <n v="0"/>
    <n v="0"/>
    <n v="618.11"/>
    <n v="953.19"/>
    <n v="916.07"/>
    <n v="975.57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8.6"/>
    <n v="666.86"/>
    <n v="666.86"/>
    <n v="0"/>
    <n v="0"/>
    <n v="0"/>
    <m/>
    <m/>
    <m/>
    <m/>
    <m/>
    <m/>
    <m/>
    <m/>
    <m/>
    <m/>
    <m/>
    <m/>
    <s v="BHX"/>
    <s v="AX1"/>
    <m/>
    <s v="B"/>
    <s v="S"/>
    <s v="44D0H"/>
    <n v="942"/>
    <s v="2018-09-29"/>
    <s v="Historical averaged cost."/>
    <n v="70.847750000000005"/>
    <n v="106.28017"/>
    <n v="106.28017"/>
    <n v="136.31652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64.400000000000006"/>
    <n v="95.68"/>
    <n v="90.62"/>
    <n v="148.5800000000000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4060006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4"/>
    <x v="17"/>
    <x v="17"/>
    <x v="0"/>
    <x v="0"/>
    <x v="0"/>
    <m/>
    <m/>
    <m/>
    <m/>
    <m/>
    <m/>
  </r>
  <r>
    <s v="LW"/>
    <s v="LWE"/>
    <s v="LWT"/>
    <s v="LW"/>
    <s v="AX1"/>
    <s v="E"/>
    <s v="(BHX)-KRPUS-(AX1)"/>
    <s v="37D7H"/>
    <n v="1"/>
    <s v="DR"/>
    <s v="D"/>
    <s v="Y"/>
    <s v="Y"/>
    <x v="30"/>
    <s v="XINGANG, TIANJIN"/>
    <x v="19"/>
    <s v="XINGANG, TIANJIN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41.30999999999995"/>
    <n v="839.67"/>
    <n v="803.54"/>
    <n v="915.2"/>
    <n v="0"/>
    <n v="0"/>
    <n v="541.30999999999995"/>
    <n v="839.67"/>
    <n v="803.54"/>
    <n v="915.2"/>
    <n v="0"/>
    <n v="0"/>
    <s v="CNTXG"/>
    <n v="105.64"/>
    <n v="178.139405044"/>
    <n v="136.509108822"/>
    <n v="138.71390525199999"/>
    <n v="0"/>
    <n v="0"/>
    <n v="105.64"/>
    <n v="178.139405044"/>
    <n v="136.509108822"/>
    <n v="138.71390525199999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28.6"/>
    <n v="666.86"/>
    <n v="666.86"/>
    <n v="0"/>
    <n v="0"/>
    <n v="0"/>
    <m/>
    <m/>
    <m/>
    <m/>
    <m/>
    <m/>
    <m/>
    <m/>
    <m/>
    <m/>
    <m/>
    <m/>
    <s v="BHX"/>
    <s v="AX1"/>
    <m/>
    <m/>
    <s v="S"/>
    <s v="35D19H"/>
    <n v="799"/>
    <s v="2018-09-29"/>
    <m/>
    <n v="70.847750000000005"/>
    <n v="106.28017"/>
    <n v="106.28017"/>
    <n v="136.31652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103.66571399999999"/>
    <n v="146.9997826"/>
    <n v="146.9997826"/>
    <n v="146.9997826"/>
    <n v="0"/>
    <n v="0"/>
    <n v="0"/>
    <n v="0"/>
    <n v="0"/>
    <n v="0"/>
    <n v="0"/>
    <n v="0"/>
    <n v="0"/>
    <n v="0"/>
    <n v="0"/>
    <n v="0"/>
    <n v="0"/>
    <n v="0"/>
    <n v="51.8"/>
    <n v="76.959999999999994"/>
    <n v="72.89"/>
    <n v="119.5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64060005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2"/>
    <x v="2"/>
    <n v="2.9260941763410662"/>
    <x v="3"/>
    <x v="5"/>
    <x v="5"/>
    <x v="4"/>
    <x v="17"/>
    <x v="17"/>
    <x v="0"/>
    <x v="0"/>
    <x v="0"/>
    <m/>
    <m/>
    <m/>
    <m/>
    <m/>
    <m/>
  </r>
  <r>
    <s v="LW"/>
    <s v="LWE"/>
    <s v="LWT"/>
    <s v="LW"/>
    <s v="AX1"/>
    <s v="E"/>
    <s v="(AX1)"/>
    <s v="38D15H"/>
    <n v="1"/>
    <s v="DR"/>
    <s v="D"/>
    <s v="Y"/>
    <s v="Y"/>
    <x v="31"/>
    <s v="YANTIAN, GUANGDONG"/>
    <x v="8"/>
    <s v="YANTIAN, GUANG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85.83000000000004"/>
    <n v="886.75"/>
    <n v="858.84"/>
    <n v="1032.8499999999999"/>
    <n v="0"/>
    <n v="0"/>
    <n v="585.83000000000004"/>
    <n v="886.75"/>
    <n v="858.84"/>
    <n v="1032.8499999999999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m/>
    <m/>
    <s v="S"/>
    <s v="37D4H"/>
    <n v="853"/>
    <s v="2018-09-29"/>
    <m/>
    <n v="123.37354999999999"/>
    <n v="185.06082000000001"/>
    <n v="185.06082000000001"/>
    <n v="228.80592999999999"/>
    <n v="0"/>
    <n v="0"/>
    <n v="0"/>
    <n v="0"/>
    <n v="0"/>
    <n v="0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6"/>
    <n v="81.12"/>
    <n v="76.83"/>
    <n v="125.9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66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1D4H"/>
    <n v="1"/>
    <s v="DR"/>
    <s v="D"/>
    <s v="Y"/>
    <s v="Y"/>
    <x v="31"/>
    <s v="YANTIAN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11.3"/>
    <n v="1070.0999999999999"/>
    <n v="1041.98"/>
    <n v="1227.1300000000001"/>
    <n v="0"/>
    <n v="0"/>
    <n v="711.3"/>
    <n v="1070.0999999999999"/>
    <n v="1041.98"/>
    <n v="1227.1300000000001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39D10H"/>
    <n v="864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4"/>
    <n v="85.28"/>
    <n v="80.77"/>
    <n v="132.4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66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50D3H"/>
    <n v="1"/>
    <s v="DR"/>
    <s v="D"/>
    <s v="Y"/>
    <s v="Y"/>
    <x v="31"/>
    <s v="YANTIAN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788.1"/>
    <n v="1183.6199999999999"/>
    <n v="1154.5"/>
    <n v="1287.49"/>
    <n v="0"/>
    <n v="0"/>
    <n v="788.1"/>
    <n v="1183.6199999999999"/>
    <n v="1154.5"/>
    <n v="1287.49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7D15H"/>
    <n v="1007"/>
    <s v="2018-09-29"/>
    <s v="Historical averaged cost."/>
    <n v="156.86103"/>
    <n v="236.84754000000001"/>
    <n v="236.84754000000001"/>
    <n v="276.47082999999998"/>
    <n v="0"/>
    <n v="0"/>
    <n v="89.184240000000003"/>
    <n v="127.40606"/>
    <n v="127.40606"/>
    <n v="140.14667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104"/>
    <n v="98.5"/>
    <n v="161.5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66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7D14H"/>
    <n v="1"/>
    <s v="DR"/>
    <s v="D"/>
    <s v="Y"/>
    <s v="Y"/>
    <x v="31"/>
    <s v="YANTIAN, GUANGDONG"/>
    <x v="8"/>
    <s v="YANTIAN, GUANG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62.63"/>
    <n v="1000.27"/>
    <n v="971.37"/>
    <n v="1093.22"/>
    <n v="0"/>
    <n v="0"/>
    <n v="662.63"/>
    <n v="1000.27"/>
    <n v="971.37"/>
    <n v="1093.22"/>
    <n v="0"/>
    <n v="0"/>
    <s v="CNYTN"/>
    <n v="198.502766323"/>
    <n v="289.279737974"/>
    <n v="256.09075846000002"/>
    <n v="304.41455546200001"/>
    <n v="0"/>
    <n v="0"/>
    <n v="198.502766323"/>
    <n v="289.279737974"/>
    <n v="256.09075846000002"/>
    <n v="304.41455546200001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m/>
    <s v="B"/>
    <s v="S"/>
    <s v="45D9H"/>
    <n v="996"/>
    <s v="2018-09-29"/>
    <s v="Historical averaged cost."/>
    <n v="123.37354999999999"/>
    <n v="185.06082000000001"/>
    <n v="185.06082000000001"/>
    <n v="228.80592999999999"/>
    <n v="0"/>
    <n v="0"/>
    <n v="0"/>
    <n v="0"/>
    <n v="0"/>
    <n v="0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2"/>
    <n v="99.84"/>
    <n v="94.56"/>
    <n v="155.04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8066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52D5H"/>
    <n v="1"/>
    <s v="DR"/>
    <s v="D"/>
    <s v="Y"/>
    <s v="Y"/>
    <x v="69"/>
    <s v="ZHANJIANG, GUANGDONG"/>
    <x v="7"/>
    <s v="HONG K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609.05999999999995"/>
    <n v="976.74"/>
    <n v="1287.18"/>
    <n v="1068.82"/>
    <n v="0"/>
    <n v="0"/>
    <n v="609.05999999999995"/>
    <n v="976.74"/>
    <n v="1287.18"/>
    <n v="1068.82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9D17H"/>
    <n v="1007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8"/>
    <n v="108.16"/>
    <n v="102.44"/>
    <n v="167.9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480008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3D6H"/>
    <n v="1"/>
    <s v="DR"/>
    <s v="D"/>
    <s v="Y"/>
    <s v="Y"/>
    <x v="69"/>
    <s v="ZHANJIANG, GUANGDONG"/>
    <x v="7"/>
    <s v="HONG K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32.27"/>
    <n v="863.22"/>
    <n v="1174.6500000000001"/>
    <n v="1008.45"/>
    <n v="0"/>
    <n v="0"/>
    <n v="532.27"/>
    <n v="863.22"/>
    <n v="1174.6500000000001"/>
    <n v="1008.45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41D12H"/>
    <n v="864"/>
    <s v="2018-09-29"/>
    <s v="Historical averaged cost."/>
    <n v="152.66703000000001"/>
    <n v="230.55654000000001"/>
    <n v="230.55654000000001"/>
    <n v="270.17982999999998"/>
    <n v="0"/>
    <n v="0"/>
    <n v="99.376729999999995"/>
    <n v="191.10909000000001"/>
    <n v="191.10909000000001"/>
    <n v="191.10909000000001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"/>
    <n v="89.44"/>
    <n v="84.71"/>
    <n v="138.88999999999999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480007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41D21H"/>
    <n v="1"/>
    <s v="DR"/>
    <s v="D"/>
    <s v="Y"/>
    <s v="Y"/>
    <x v="69"/>
    <s v="ZHANJIANG, GUANGDONG"/>
    <x v="8"/>
    <s v="YANTIAN, GUANGDONG"/>
    <x v="7"/>
    <s v="IQUIQUE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13.87"/>
    <n v="807.47"/>
    <n v="1119.02"/>
    <n v="971.5"/>
    <n v="0"/>
    <n v="0"/>
    <n v="513.87"/>
    <n v="807.47"/>
    <n v="1119.02"/>
    <n v="971.5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F"/>
    <m/>
    <s v="S"/>
    <s v="40D4H"/>
    <n v="853"/>
    <s v="2018-09-29"/>
    <s v="Historical averaged cost."/>
    <n v="88.532589999999999"/>
    <n v="132.29938999999999"/>
    <n v="132.29938999999999"/>
    <n v="162.43816000000001"/>
    <n v="0"/>
    <n v="0"/>
    <n v="146.51696999999999"/>
    <n v="235.70121"/>
    <n v="235.70121"/>
    <n v="265.13200999999998"/>
    <n v="0"/>
    <n v="0"/>
    <n v="155.93299999999999"/>
    <n v="233.84800000000001"/>
    <n v="233.84800000000001"/>
    <n v="233.84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8"/>
    <n v="87.36"/>
    <n v="82.74"/>
    <n v="135.66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480001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  <r>
    <s v="LW"/>
    <s v="LWE"/>
    <s v="LWT"/>
    <s v="LW"/>
    <s v="AX1"/>
    <s v="E"/>
    <s v="(AX1)"/>
    <s v="50D20H"/>
    <n v="1"/>
    <s v="DR"/>
    <s v="D"/>
    <s v="Y"/>
    <s v="Y"/>
    <x v="69"/>
    <s v="ZHANJIANG, GUANGDONG"/>
    <x v="8"/>
    <s v="YANTIAN, GUANGDONG"/>
    <x v="8"/>
    <s v="VALPARAISO"/>
    <s v="CLIQQ"/>
    <s v="IQUIQUE"/>
    <m/>
    <m/>
    <m/>
    <m/>
    <m/>
    <m/>
    <s v=""/>
    <s v=""/>
    <s v=""/>
    <s v=""/>
    <s v=""/>
    <s v=""/>
    <s v=""/>
    <s v=""/>
    <s v=""/>
    <s v=""/>
    <s v=""/>
    <s v=""/>
    <m/>
    <m/>
    <m/>
    <m/>
    <m/>
    <m/>
    <s v=""/>
    <s v=""/>
    <s v=""/>
    <s v=""/>
    <s v=""/>
    <s v=""/>
    <s v=""/>
    <s v=""/>
    <s v=""/>
    <s v=""/>
    <s v=""/>
    <s v=""/>
    <n v="590.66999999999996"/>
    <n v="920.99"/>
    <n v="1231.54"/>
    <n v="1031.8699999999999"/>
    <n v="0"/>
    <n v="0"/>
    <n v="590.66999999999996"/>
    <n v="920.99"/>
    <n v="1231.54"/>
    <n v="1031.8699999999999"/>
    <n v="0"/>
    <n v="0"/>
    <s v="CNZHA"/>
    <n v="10.667671017"/>
    <n v="20.822714269999999"/>
    <n v="327.41405020399998"/>
    <n v="34.611379276999998"/>
    <n v="0"/>
    <n v="0"/>
    <n v="10.667671017"/>
    <n v="20.822714269999999"/>
    <n v="327.41405020399998"/>
    <n v="34.611379276999998"/>
    <n v="0"/>
    <n v="0"/>
    <s v="CLIQQ"/>
    <n v="53.422671504"/>
    <n v="97.442732086000007"/>
    <n v="107.01359007799999"/>
    <n v="139.81502635000001"/>
    <n v="0"/>
    <n v="0"/>
    <n v="53.422671504"/>
    <n v="97.442732086000007"/>
    <n v="107.01359007799999"/>
    <n v="139.81502635000001"/>
    <n v="0"/>
    <n v="0"/>
    <m/>
    <m/>
    <m/>
    <m/>
    <m/>
    <m/>
    <n v="466.93"/>
    <n v="727.13"/>
    <n v="727.13"/>
    <n v="0"/>
    <n v="0"/>
    <n v="0"/>
    <m/>
    <m/>
    <m/>
    <m/>
    <m/>
    <m/>
    <m/>
    <m/>
    <m/>
    <m/>
    <m/>
    <m/>
    <s v="AX1"/>
    <s v="AX1"/>
    <s v="B"/>
    <s v="B"/>
    <s v="S"/>
    <s v="48D9H"/>
    <n v="996"/>
    <s v="2018-09-29"/>
    <s v="Historical averaged cost."/>
    <n v="88.532589999999999"/>
    <n v="132.29938999999999"/>
    <n v="132.29938999999999"/>
    <n v="162.43816000000001"/>
    <n v="0"/>
    <n v="0"/>
    <n v="146.51696999999999"/>
    <n v="235.70121"/>
    <n v="235.70121"/>
    <n v="265.13200999999998"/>
    <n v="0"/>
    <n v="0"/>
    <n v="219.13"/>
    <n v="327.64400000000001"/>
    <n v="327.64400000000001"/>
    <n v="264.1440000000000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n v="106.08"/>
    <n v="100.47"/>
    <n v="164.73"/>
    <n v="0"/>
    <n v="0"/>
    <n v="0"/>
    <n v="0"/>
    <n v="0"/>
    <n v="0"/>
    <n v="0"/>
    <n v="0"/>
    <s v="Y"/>
    <s v="Y"/>
    <s v="Y"/>
    <s v="Y"/>
    <m/>
    <m/>
    <m/>
    <m/>
    <m/>
    <m/>
    <m/>
    <m/>
    <m/>
    <m/>
    <m/>
    <m/>
    <m/>
    <m/>
    <s v="Y"/>
    <s v="Y"/>
    <s v="Y"/>
    <s v="Y"/>
    <m/>
    <m/>
    <s v="Y"/>
    <s v="Y"/>
    <s v="Y"/>
    <s v="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1809290136518480004"/>
    <s v="OPUS"/>
    <n v="122"/>
    <n v="244"/>
    <n v="244"/>
    <x v="0"/>
    <x v="0"/>
    <x v="0"/>
    <m/>
    <m/>
    <m/>
    <x v="0"/>
    <x v="0"/>
    <x v="0"/>
    <x v="2"/>
    <x v="2"/>
    <x v="2"/>
    <m/>
    <m/>
    <m/>
    <n v="60"/>
    <n v="120"/>
    <n v="120"/>
    <x v="3"/>
    <x v="3"/>
    <n v="4.3891412645115979"/>
    <x v="3"/>
    <x v="5"/>
    <x v="5"/>
    <x v="3"/>
    <x v="3"/>
    <x v="3"/>
    <x v="0"/>
    <x v="0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78070-60A6-405B-B5B8-F3ED09248FA0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Q17" firstHeaderRow="2" firstDataRow="2" firstDataCol="11" rowPageCount="1" colPageCount="1"/>
  <pivotFields count="30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6">
        <item x="71"/>
        <item x="1"/>
        <item x="2"/>
        <item x="60"/>
        <item x="32"/>
        <item x="35"/>
        <item x="5"/>
        <item x="4"/>
        <item x="7"/>
        <item x="6"/>
        <item x="10"/>
        <item x="38"/>
        <item x="37"/>
        <item x="43"/>
        <item x="41"/>
        <item x="42"/>
        <item x="17"/>
        <item x="44"/>
        <item x="15"/>
        <item x="45"/>
        <item x="48"/>
        <item x="22"/>
        <item x="24"/>
        <item x="23"/>
        <item x="51"/>
        <item x="21"/>
        <item x="30"/>
        <item x="68"/>
        <item x="72"/>
        <item x="27"/>
        <item x="29"/>
        <item x="28"/>
        <item x="73"/>
        <item x="58"/>
        <item x="31"/>
        <item x="54"/>
        <item x="69"/>
        <item x="70"/>
        <item x="53"/>
        <item x="55"/>
        <item x="56"/>
        <item x="9"/>
        <item x="11"/>
        <item x="49"/>
        <item x="0"/>
        <item x="59"/>
        <item x="61"/>
        <item x="3"/>
        <item x="13"/>
        <item x="33"/>
        <item x="66"/>
        <item x="16"/>
        <item x="19"/>
        <item x="52"/>
        <item x="20"/>
        <item x="34"/>
        <item x="18"/>
        <item x="46"/>
        <item x="47"/>
        <item x="65"/>
        <item x="63"/>
        <item x="64"/>
        <item x="50"/>
        <item x="57"/>
        <item x="39"/>
        <item x="40"/>
        <item x="67"/>
        <item x="14"/>
        <item x="12"/>
        <item x="25"/>
        <item x="26"/>
        <item x="74"/>
        <item x="36"/>
        <item x="8"/>
        <item x="62"/>
        <item t="default"/>
      </items>
    </pivotField>
    <pivotField compact="0" outline="0" showAll="0"/>
    <pivotField axis="axisPage" compact="0" outline="0" multipleItemSelectionAllowed="1" showAll="0">
      <items count="43">
        <item h="1" x="41"/>
        <item h="1" x="2"/>
        <item h="1" x="21"/>
        <item h="1" x="10"/>
        <item h="1" x="23"/>
        <item h="1" x="28"/>
        <item h="1" x="4"/>
        <item h="1" x="22"/>
        <item x="3"/>
        <item h="1" x="9"/>
        <item h="1" x="18"/>
        <item h="1" x="19"/>
        <item h="1" x="11"/>
        <item h="1" x="8"/>
        <item h="1" x="7"/>
        <item h="1" x="13"/>
        <item h="1" x="31"/>
        <item h="1" x="34"/>
        <item h="1" x="35"/>
        <item h="1" x="15"/>
        <item h="1" x="1"/>
        <item h="1" x="6"/>
        <item h="1" x="0"/>
        <item h="1" x="5"/>
        <item h="1" x="33"/>
        <item h="1" x="17"/>
        <item h="1" x="20"/>
        <item h="1" x="16"/>
        <item h="1" x="29"/>
        <item h="1" x="30"/>
        <item h="1" x="39"/>
        <item h="1" x="37"/>
        <item h="1" x="38"/>
        <item h="1" x="32"/>
        <item h="1" x="27"/>
        <item h="1" x="40"/>
        <item h="1" x="14"/>
        <item h="1" x="26"/>
        <item h="1" x="12"/>
        <item h="1" x="24"/>
        <item h="1" x="25"/>
        <item h="1" x="36"/>
        <item t="default"/>
      </items>
    </pivotField>
    <pivotField compact="0" outline="0" showAll="0"/>
    <pivotField compact="0" outline="0" showAll="0">
      <items count="10">
        <item x="1"/>
        <item x="5"/>
        <item x="7"/>
        <item x="8"/>
        <item x="2"/>
        <item x="6"/>
        <item x="4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2">
        <item x="1"/>
        <item x="0"/>
      </items>
    </pivotField>
    <pivotField compact="0" outline="0" showAll="0" defaultSubtotal="0">
      <items count="2">
        <item x="1"/>
        <item x="0"/>
      </items>
    </pivotField>
    <pivotField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>
      <items count="15">
        <item x="5"/>
        <item x="3"/>
        <item x="8"/>
        <item x="9"/>
        <item x="0"/>
        <item x="12"/>
        <item x="7"/>
        <item x="11"/>
        <item x="6"/>
        <item x="2"/>
        <item x="4"/>
        <item x="10"/>
        <item x="13"/>
        <item x="1"/>
        <item t="default"/>
      </items>
    </pivotField>
    <pivotField axis="axisRow" compact="0" outline="0" showAll="0">
      <items count="15">
        <item x="5"/>
        <item x="3"/>
        <item x="8"/>
        <item x="9"/>
        <item x="0"/>
        <item x="12"/>
        <item x="7"/>
        <item x="11"/>
        <item x="6"/>
        <item x="2"/>
        <item x="4"/>
        <item x="10"/>
        <item x="13"/>
        <item x="1"/>
        <item t="default"/>
      </items>
    </pivotField>
    <pivotField axis="axisRow" compact="0" outline="0" showAll="0">
      <items count="15">
        <item x="5"/>
        <item x="3"/>
        <item x="8"/>
        <item x="9"/>
        <item x="0"/>
        <item x="12"/>
        <item x="7"/>
        <item x="11"/>
        <item x="6"/>
        <item x="2"/>
        <item x="4"/>
        <item x="10"/>
        <item x="1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13"/>
        <item x="2"/>
        <item x="15"/>
        <item x="3"/>
        <item x="8"/>
        <item x="14"/>
        <item x="0"/>
        <item x="1"/>
        <item x="11"/>
        <item x="4"/>
        <item x="6"/>
        <item x="9"/>
        <item x="7"/>
        <item x="5"/>
        <item x="12"/>
        <item x="10"/>
        <item t="default"/>
      </items>
    </pivotField>
    <pivotField axis="axisRow" compact="0" outline="0" showAll="0">
      <items count="17">
        <item x="13"/>
        <item x="2"/>
        <item x="15"/>
        <item x="3"/>
        <item x="8"/>
        <item x="14"/>
        <item x="0"/>
        <item x="1"/>
        <item x="11"/>
        <item x="4"/>
        <item x="6"/>
        <item x="9"/>
        <item x="7"/>
        <item x="5"/>
        <item x="12"/>
        <item x="10"/>
        <item t="default"/>
      </items>
    </pivotField>
    <pivotField compact="0" outline="0" showAll="0"/>
    <pivotField compact="0" outline="0" showAll="0" defaultSubtotal="0">
      <items count="5">
        <item x="3"/>
        <item x="2"/>
        <item x="4"/>
        <item x="0"/>
        <item x="1"/>
      </items>
    </pivotField>
    <pivotField compact="0" outline="0" showAll="0" defaultSubtotal="0">
      <items count="6">
        <item x="3"/>
        <item x="5"/>
        <item x="2"/>
        <item x="4"/>
        <item x="0"/>
        <item x="1"/>
      </items>
    </pivotField>
    <pivotField compact="0" outline="0" showAll="0">
      <items count="7">
        <item x="3"/>
        <item x="5"/>
        <item x="2"/>
        <item x="4"/>
        <item x="0"/>
        <item x="1"/>
        <item t="default"/>
      </items>
    </pivotField>
    <pivotField axis="axisRow" compact="0" outline="0" showAll="0" defaultSubtotal="0">
      <items count="29">
        <item x="20"/>
        <item x="9"/>
        <item x="4"/>
        <item x="16"/>
        <item x="2"/>
        <item x="12"/>
        <item x="17"/>
        <item x="5"/>
        <item x="18"/>
        <item x="25"/>
        <item x="10"/>
        <item x="14"/>
        <item x="13"/>
        <item x="7"/>
        <item x="1"/>
        <item x="23"/>
        <item x="11"/>
        <item x="27"/>
        <item x="3"/>
        <item x="15"/>
        <item x="21"/>
        <item x="22"/>
        <item x="19"/>
        <item x="24"/>
        <item x="8"/>
        <item x="26"/>
        <item x="6"/>
        <item x="28"/>
        <item x="0"/>
      </items>
    </pivotField>
    <pivotField axis="axisRow" compact="0" outline="0" showAll="0" defaultSubtotal="0">
      <items count="31">
        <item x="22"/>
        <item x="9"/>
        <item x="18"/>
        <item x="17"/>
        <item x="4"/>
        <item x="2"/>
        <item x="16"/>
        <item x="1"/>
        <item x="12"/>
        <item x="19"/>
        <item x="5"/>
        <item x="20"/>
        <item x="27"/>
        <item x="13"/>
        <item x="7"/>
        <item x="10"/>
        <item x="14"/>
        <item x="15"/>
        <item x="29"/>
        <item x="25"/>
        <item x="23"/>
        <item x="11"/>
        <item x="3"/>
        <item x="24"/>
        <item x="8"/>
        <item x="28"/>
        <item x="26"/>
        <item x="21"/>
        <item x="6"/>
        <item x="30"/>
        <item x="0"/>
      </items>
    </pivotField>
    <pivotField axis="axisRow" compact="0" outline="0" showAll="0">
      <items count="32">
        <item x="22"/>
        <item x="9"/>
        <item x="18"/>
        <item x="17"/>
        <item x="4"/>
        <item x="2"/>
        <item x="16"/>
        <item x="12"/>
        <item x="19"/>
        <item x="5"/>
        <item x="20"/>
        <item x="27"/>
        <item x="13"/>
        <item x="7"/>
        <item x="10"/>
        <item x="14"/>
        <item x="15"/>
        <item x="29"/>
        <item x="1"/>
        <item x="25"/>
        <item x="23"/>
        <item x="11"/>
        <item x="3"/>
        <item x="24"/>
        <item x="28"/>
        <item x="21"/>
        <item x="26"/>
        <item x="8"/>
        <item x="6"/>
        <item x="30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1">
    <field x="272"/>
    <field x="271"/>
    <field x="273"/>
    <field x="289"/>
    <field x="290"/>
    <field x="291"/>
    <field x="274"/>
    <field x="275"/>
    <field x="276"/>
    <field x="283"/>
    <field x="284"/>
  </rowFields>
  <rowItems count="13">
    <i>
      <x/>
      <x/>
      <x/>
      <x v="3"/>
      <x v="6"/>
      <x v="6"/>
      <x v="9"/>
      <x v="9"/>
      <x v="9"/>
      <x v="1"/>
      <x v="1"/>
    </i>
    <i t="default" r="9">
      <x v="1"/>
    </i>
    <i t="default" r="8">
      <x v="9"/>
    </i>
    <i t="default" r="7">
      <x v="9"/>
    </i>
    <i t="default" r="6">
      <x v="9"/>
    </i>
    <i t="default" r="5">
      <x v="6"/>
    </i>
    <i r="3">
      <x v="4"/>
      <x v="5"/>
      <x v="5"/>
      <x v="9"/>
      <x v="9"/>
      <x v="9"/>
      <x v="1"/>
      <x v="1"/>
    </i>
    <i t="default" r="9">
      <x v="1"/>
    </i>
    <i t="default" r="8">
      <x v="9"/>
    </i>
    <i t="default" r="7">
      <x v="9"/>
    </i>
    <i t="default" r="6">
      <x v="9"/>
    </i>
    <i t="default" r="5">
      <x v="5"/>
    </i>
    <i t="grand">
      <x/>
    </i>
  </rowItems>
  <colItems count="1">
    <i/>
  </colItems>
  <pageFields count="1">
    <pageField fld="1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E974-02CE-44EB-940C-7930B1F010A8}">
  <dimension ref="A1:CA160"/>
  <sheetViews>
    <sheetView tabSelected="1" topLeftCell="A57" zoomScale="85" zoomScaleNormal="85" workbookViewId="0">
      <selection activeCell="AA1" sqref="AA1:AK107"/>
    </sheetView>
  </sheetViews>
  <sheetFormatPr defaultRowHeight="15"/>
  <cols>
    <col min="1" max="1" width="25.5703125" customWidth="1"/>
    <col min="2" max="4" width="8.85546875" style="1"/>
    <col min="5" max="5" width="13.140625" style="1" customWidth="1"/>
    <col min="6" max="6" width="13.42578125" style="1" bestFit="1" customWidth="1"/>
    <col min="7" max="7" width="17.140625" customWidth="1"/>
    <col min="8" max="9" width="10.5703125" bestFit="1" customWidth="1"/>
    <col min="12" max="12" width="20" customWidth="1"/>
    <col min="13" max="13" width="13.7109375" bestFit="1" customWidth="1"/>
    <col min="14" max="14" width="16.85546875" customWidth="1"/>
    <col min="22" max="24" width="8.7109375"/>
    <col min="25" max="25" width="9" customWidth="1"/>
    <col min="26" max="26" width="10.42578125" bestFit="1" customWidth="1"/>
    <col min="27" max="27" width="13.7109375" bestFit="1" customWidth="1"/>
    <col min="28" max="28" width="16.85546875" customWidth="1"/>
    <col min="29" max="29" width="14.42578125" customWidth="1"/>
    <col min="50" max="50" width="8.85546875" style="116"/>
  </cols>
  <sheetData>
    <row r="1" spans="1:79" ht="15" customHeight="1">
      <c r="A1" t="s">
        <v>204</v>
      </c>
      <c r="F1" s="1" t="s">
        <v>388</v>
      </c>
      <c r="G1" t="s">
        <v>389</v>
      </c>
      <c r="M1" s="233" t="s">
        <v>403</v>
      </c>
      <c r="N1" s="234"/>
      <c r="O1" s="234"/>
      <c r="P1" s="234"/>
      <c r="Q1" s="234"/>
      <c r="R1" s="234"/>
      <c r="S1" s="234"/>
      <c r="T1" s="234"/>
      <c r="U1" s="234"/>
      <c r="V1" s="234"/>
      <c r="W1" s="235"/>
      <c r="X1" s="166"/>
      <c r="Y1" s="152"/>
      <c r="Z1" s="152"/>
      <c r="AA1" s="233" t="s">
        <v>403</v>
      </c>
      <c r="AB1" s="234"/>
      <c r="AC1" s="234"/>
      <c r="AD1" s="234"/>
      <c r="AE1" s="234"/>
      <c r="AF1" s="234"/>
      <c r="AG1" s="234"/>
      <c r="AH1" s="234"/>
      <c r="AI1" s="234"/>
      <c r="AJ1" s="234"/>
      <c r="AK1" s="235"/>
      <c r="AL1" s="200"/>
      <c r="AM1" s="200"/>
      <c r="AN1" s="200"/>
      <c r="AO1" s="108"/>
      <c r="AX1"/>
      <c r="BZ1" s="3"/>
      <c r="CA1" s="3"/>
    </row>
    <row r="2" spans="1:79" ht="15.75" customHeight="1">
      <c r="F2" s="1" t="s">
        <v>390</v>
      </c>
      <c r="G2" t="s">
        <v>391</v>
      </c>
      <c r="M2" s="236"/>
      <c r="N2" s="237"/>
      <c r="O2" s="237"/>
      <c r="P2" s="237"/>
      <c r="Q2" s="237"/>
      <c r="R2" s="237"/>
      <c r="S2" s="237"/>
      <c r="T2" s="237"/>
      <c r="U2" s="237"/>
      <c r="V2" s="237"/>
      <c r="W2" s="238"/>
      <c r="X2" s="166"/>
      <c r="Y2" s="152"/>
      <c r="Z2" s="152"/>
      <c r="AA2" s="236"/>
      <c r="AB2" s="237"/>
      <c r="AC2" s="237"/>
      <c r="AD2" s="237"/>
      <c r="AE2" s="237"/>
      <c r="AF2" s="237"/>
      <c r="AG2" s="237"/>
      <c r="AH2" s="237"/>
      <c r="AI2" s="237"/>
      <c r="AJ2" s="237"/>
      <c r="AK2" s="238"/>
      <c r="AL2" s="200"/>
      <c r="AM2" s="200"/>
      <c r="AN2" s="200"/>
      <c r="AO2" s="108"/>
      <c r="AX2"/>
      <c r="BY2" s="3"/>
      <c r="BZ2" s="3"/>
      <c r="CA2" s="3"/>
    </row>
    <row r="3" spans="1:79" ht="15.75" thickBot="1">
      <c r="A3" s="71"/>
      <c r="B3" s="72">
        <v>20</v>
      </c>
      <c r="C3" s="72">
        <v>40</v>
      </c>
      <c r="D3" s="72" t="s">
        <v>20</v>
      </c>
      <c r="M3" s="291"/>
      <c r="N3" s="292"/>
      <c r="O3" s="232" t="s">
        <v>361</v>
      </c>
      <c r="P3" s="232"/>
      <c r="Q3" s="232"/>
      <c r="R3" s="239" t="s">
        <v>546</v>
      </c>
      <c r="S3" s="293"/>
      <c r="T3" s="293"/>
      <c r="U3" s="293"/>
      <c r="V3" s="293"/>
      <c r="W3" s="294"/>
      <c r="X3" s="166"/>
      <c r="Y3" s="152"/>
      <c r="Z3" s="152"/>
      <c r="AA3" s="291"/>
      <c r="AB3" s="292"/>
      <c r="AC3" s="232" t="s">
        <v>361</v>
      </c>
      <c r="AD3" s="232"/>
      <c r="AE3" s="232"/>
      <c r="AF3" s="239" t="s">
        <v>544</v>
      </c>
      <c r="AG3" s="239"/>
      <c r="AH3" s="239"/>
      <c r="AI3" s="239"/>
      <c r="AJ3" s="239"/>
      <c r="AK3" s="245"/>
      <c r="AL3" s="200"/>
      <c r="AM3" s="200"/>
      <c r="AN3" s="200"/>
      <c r="AO3" s="108"/>
      <c r="AX3"/>
      <c r="BY3" s="3"/>
      <c r="BZ3" s="3"/>
      <c r="CA3" s="3"/>
    </row>
    <row r="4" spans="1:79">
      <c r="A4" s="75" t="s">
        <v>18</v>
      </c>
      <c r="B4" s="151">
        <v>150</v>
      </c>
      <c r="C4" s="151">
        <v>200</v>
      </c>
      <c r="D4" s="151">
        <v>200</v>
      </c>
      <c r="E4" s="1" t="s">
        <v>445</v>
      </c>
      <c r="F4" s="137" t="s">
        <v>346</v>
      </c>
      <c r="G4" s="138" t="s">
        <v>347</v>
      </c>
      <c r="H4" s="138">
        <v>275</v>
      </c>
      <c r="I4" s="138">
        <v>450</v>
      </c>
      <c r="J4" s="138">
        <v>450</v>
      </c>
      <c r="M4" s="243" t="s">
        <v>362</v>
      </c>
      <c r="N4" s="244" t="s">
        <v>363</v>
      </c>
      <c r="O4" s="244" t="s">
        <v>364</v>
      </c>
      <c r="P4" s="246" t="s">
        <v>547</v>
      </c>
      <c r="Q4" s="240" t="s">
        <v>365</v>
      </c>
      <c r="R4" s="241" t="s">
        <v>366</v>
      </c>
      <c r="S4" s="295"/>
      <c r="T4" s="295"/>
      <c r="U4" s="242" t="s">
        <v>367</v>
      </c>
      <c r="V4" s="295"/>
      <c r="W4" s="296"/>
      <c r="X4" s="166"/>
      <c r="Y4" s="152"/>
      <c r="Z4" s="152"/>
      <c r="AA4" s="255" t="s">
        <v>362</v>
      </c>
      <c r="AB4" s="246" t="s">
        <v>363</v>
      </c>
      <c r="AC4" s="246" t="s">
        <v>364</v>
      </c>
      <c r="AD4" s="246" t="s">
        <v>547</v>
      </c>
      <c r="AE4" s="248" t="s">
        <v>365</v>
      </c>
      <c r="AF4" s="250" t="s">
        <v>366</v>
      </c>
      <c r="AG4" s="251"/>
      <c r="AH4" s="252"/>
      <c r="AI4" s="253" t="s">
        <v>367</v>
      </c>
      <c r="AJ4" s="251"/>
      <c r="AK4" s="254"/>
      <c r="AL4" s="200"/>
      <c r="AM4" s="200"/>
      <c r="AN4" s="200"/>
      <c r="AO4" s="108"/>
      <c r="AX4"/>
      <c r="BY4" s="3"/>
      <c r="BZ4" s="3"/>
      <c r="CA4" s="3"/>
    </row>
    <row r="5" spans="1:79" ht="15.75" thickBot="1">
      <c r="A5" s="77" t="s">
        <v>211</v>
      </c>
      <c r="B5" s="151">
        <v>150</v>
      </c>
      <c r="C5" s="151">
        <v>200</v>
      </c>
      <c r="D5" s="151">
        <v>200</v>
      </c>
      <c r="E5" s="1" t="s">
        <v>444</v>
      </c>
      <c r="G5" t="s">
        <v>501</v>
      </c>
      <c r="M5" s="297"/>
      <c r="N5" s="298"/>
      <c r="O5" s="298"/>
      <c r="P5" s="247"/>
      <c r="Q5" s="299"/>
      <c r="R5" s="157" t="s">
        <v>21</v>
      </c>
      <c r="S5" s="158" t="s">
        <v>22</v>
      </c>
      <c r="T5" s="158" t="s">
        <v>23</v>
      </c>
      <c r="U5" s="158" t="s">
        <v>21</v>
      </c>
      <c r="V5" s="158" t="s">
        <v>22</v>
      </c>
      <c r="W5" s="159" t="s">
        <v>23</v>
      </c>
      <c r="X5" s="166"/>
      <c r="Y5" s="152"/>
      <c r="Z5" s="152"/>
      <c r="AA5" s="256"/>
      <c r="AB5" s="247"/>
      <c r="AC5" s="247"/>
      <c r="AD5" s="247"/>
      <c r="AE5" s="249"/>
      <c r="AF5" s="157" t="s">
        <v>21</v>
      </c>
      <c r="AG5" s="158" t="s">
        <v>22</v>
      </c>
      <c r="AH5" s="158" t="s">
        <v>23</v>
      </c>
      <c r="AI5" s="158" t="s">
        <v>21</v>
      </c>
      <c r="AJ5" s="158" t="s">
        <v>22</v>
      </c>
      <c r="AK5" s="159" t="s">
        <v>23</v>
      </c>
      <c r="AL5" s="200"/>
      <c r="AM5" s="200"/>
      <c r="AN5" s="200"/>
      <c r="AO5" s="108"/>
      <c r="AX5"/>
      <c r="BY5" s="3"/>
      <c r="BZ5" s="3"/>
      <c r="CA5" s="3"/>
    </row>
    <row r="6" spans="1:79" ht="15.75" thickTop="1">
      <c r="A6" s="77" t="s">
        <v>227</v>
      </c>
      <c r="B6" s="76">
        <v>450</v>
      </c>
      <c r="C6" s="76">
        <v>800</v>
      </c>
      <c r="D6" s="76">
        <v>800</v>
      </c>
      <c r="G6" s="193">
        <v>9.1199999999999992</v>
      </c>
      <c r="H6" s="193">
        <v>17.239999999999998</v>
      </c>
      <c r="I6" s="193">
        <v>17.239999999999998</v>
      </c>
      <c r="M6" s="202" t="s">
        <v>378</v>
      </c>
      <c r="N6" s="203" t="s">
        <v>368</v>
      </c>
      <c r="O6" s="203" t="s">
        <v>504</v>
      </c>
      <c r="P6" s="204" t="s">
        <v>548</v>
      </c>
      <c r="Q6" s="204" t="s">
        <v>371</v>
      </c>
      <c r="R6" s="205">
        <v>50</v>
      </c>
      <c r="S6" s="206">
        <v>300</v>
      </c>
      <c r="T6" s="206">
        <v>300</v>
      </c>
      <c r="U6" s="206">
        <v>50</v>
      </c>
      <c r="V6" s="206">
        <v>300</v>
      </c>
      <c r="W6" s="207">
        <v>300</v>
      </c>
      <c r="X6" s="167"/>
      <c r="Y6" s="153"/>
      <c r="Z6" s="153"/>
      <c r="AA6" s="202" t="s">
        <v>378</v>
      </c>
      <c r="AB6" s="203" t="s">
        <v>368</v>
      </c>
      <c r="AC6" s="203" t="s">
        <v>504</v>
      </c>
      <c r="AD6" s="204" t="s">
        <v>548</v>
      </c>
      <c r="AE6" s="204" t="s">
        <v>371</v>
      </c>
      <c r="AF6" s="205">
        <v>75</v>
      </c>
      <c r="AG6" s="206">
        <v>350</v>
      </c>
      <c r="AH6" s="206">
        <v>350</v>
      </c>
      <c r="AI6" s="206">
        <v>75</v>
      </c>
      <c r="AJ6" s="206">
        <v>350</v>
      </c>
      <c r="AK6" s="207">
        <v>350</v>
      </c>
      <c r="AL6" s="199"/>
      <c r="AM6" s="199"/>
      <c r="AN6" s="199"/>
      <c r="AO6" s="154"/>
      <c r="AX6"/>
      <c r="BY6" s="3"/>
      <c r="BZ6" s="3"/>
      <c r="CA6" s="3"/>
    </row>
    <row r="7" spans="1:79">
      <c r="A7" s="78" t="s">
        <v>17</v>
      </c>
      <c r="B7" s="79">
        <v>100</v>
      </c>
      <c r="C7" s="79">
        <v>200</v>
      </c>
      <c r="D7" s="79">
        <v>200</v>
      </c>
      <c r="G7" s="193">
        <v>126.62061463000001</v>
      </c>
      <c r="H7" s="193">
        <v>126.62061463000001</v>
      </c>
      <c r="I7" s="193">
        <v>126.62061463000001</v>
      </c>
      <c r="M7" s="208" t="s">
        <v>378</v>
      </c>
      <c r="N7" s="209" t="s">
        <v>379</v>
      </c>
      <c r="O7" s="209" t="s">
        <v>505</v>
      </c>
      <c r="P7" s="210" t="s">
        <v>549</v>
      </c>
      <c r="Q7" s="210" t="s">
        <v>371</v>
      </c>
      <c r="R7" s="211">
        <v>150</v>
      </c>
      <c r="S7" s="212">
        <v>275</v>
      </c>
      <c r="T7" s="212">
        <v>275</v>
      </c>
      <c r="U7" s="212">
        <v>200</v>
      </c>
      <c r="V7" s="212">
        <v>350</v>
      </c>
      <c r="W7" s="213">
        <v>350</v>
      </c>
      <c r="X7" s="167"/>
      <c r="Y7" s="153"/>
      <c r="Z7" s="153"/>
      <c r="AA7" s="208" t="s">
        <v>378</v>
      </c>
      <c r="AB7" s="209" t="s">
        <v>379</v>
      </c>
      <c r="AC7" s="209" t="s">
        <v>505</v>
      </c>
      <c r="AD7" s="210" t="s">
        <v>549</v>
      </c>
      <c r="AE7" s="210" t="s">
        <v>371</v>
      </c>
      <c r="AF7" s="211">
        <v>175</v>
      </c>
      <c r="AG7" s="212">
        <v>325</v>
      </c>
      <c r="AH7" s="212">
        <v>325</v>
      </c>
      <c r="AI7" s="212">
        <v>225</v>
      </c>
      <c r="AJ7" s="212">
        <v>400</v>
      </c>
      <c r="AK7" s="213">
        <v>400</v>
      </c>
      <c r="AL7" s="199"/>
      <c r="AM7" s="199"/>
      <c r="AN7" s="199"/>
      <c r="AO7" s="154"/>
      <c r="AX7"/>
      <c r="BY7" s="3"/>
      <c r="BZ7" s="3"/>
      <c r="CA7" s="3"/>
    </row>
    <row r="8" spans="1:79">
      <c r="A8" s="78" t="s">
        <v>192</v>
      </c>
      <c r="B8" s="79">
        <v>150</v>
      </c>
      <c r="C8" s="79">
        <v>300</v>
      </c>
      <c r="D8" s="79">
        <v>300</v>
      </c>
      <c r="G8" s="193"/>
      <c r="H8" s="193"/>
      <c r="I8" s="193"/>
      <c r="M8" s="208" t="s">
        <v>378</v>
      </c>
      <c r="N8" s="209" t="s">
        <v>379</v>
      </c>
      <c r="O8" s="209" t="s">
        <v>506</v>
      </c>
      <c r="P8" s="210" t="s">
        <v>550</v>
      </c>
      <c r="Q8" s="210" t="s">
        <v>371</v>
      </c>
      <c r="R8" s="211">
        <v>125</v>
      </c>
      <c r="S8" s="212">
        <v>250</v>
      </c>
      <c r="T8" s="212">
        <v>250</v>
      </c>
      <c r="U8" s="212">
        <v>175</v>
      </c>
      <c r="V8" s="212">
        <v>300</v>
      </c>
      <c r="W8" s="213">
        <v>300</v>
      </c>
      <c r="X8" s="167"/>
      <c r="Y8" s="153"/>
      <c r="Z8" s="153"/>
      <c r="AA8" s="208" t="s">
        <v>378</v>
      </c>
      <c r="AB8" s="209" t="s">
        <v>379</v>
      </c>
      <c r="AC8" s="209" t="s">
        <v>506</v>
      </c>
      <c r="AD8" s="210" t="s">
        <v>550</v>
      </c>
      <c r="AE8" s="210" t="s">
        <v>371</v>
      </c>
      <c r="AF8" s="211">
        <v>150</v>
      </c>
      <c r="AG8" s="212">
        <v>300</v>
      </c>
      <c r="AH8" s="212">
        <v>300</v>
      </c>
      <c r="AI8" s="212">
        <v>200</v>
      </c>
      <c r="AJ8" s="212">
        <v>350</v>
      </c>
      <c r="AK8" s="213">
        <v>350</v>
      </c>
      <c r="AL8" s="199"/>
      <c r="AM8" s="199"/>
      <c r="AN8" s="199"/>
      <c r="AO8" s="154"/>
      <c r="AX8"/>
      <c r="BY8" s="3"/>
      <c r="BZ8" s="3"/>
      <c r="CA8" s="3"/>
    </row>
    <row r="9" spans="1:79">
      <c r="A9" s="78" t="s">
        <v>19</v>
      </c>
      <c r="B9" s="79">
        <v>50</v>
      </c>
      <c r="C9" s="79">
        <v>150</v>
      </c>
      <c r="D9" s="79">
        <v>150</v>
      </c>
      <c r="G9" s="194">
        <f>SUM(G6:G8)</f>
        <v>135.74061463000001</v>
      </c>
      <c r="H9" s="194">
        <f t="shared" ref="H9:I9" si="0">SUM(H6:H8)</f>
        <v>143.86061463000001</v>
      </c>
      <c r="I9" s="194">
        <f t="shared" si="0"/>
        <v>143.86061463000001</v>
      </c>
      <c r="M9" s="208" t="s">
        <v>378</v>
      </c>
      <c r="N9" s="209" t="s">
        <v>399</v>
      </c>
      <c r="O9" s="209" t="s">
        <v>507</v>
      </c>
      <c r="P9" s="210" t="s">
        <v>551</v>
      </c>
      <c r="Q9" s="210" t="s">
        <v>401</v>
      </c>
      <c r="R9" s="211">
        <v>150</v>
      </c>
      <c r="S9" s="212">
        <v>200</v>
      </c>
      <c r="T9" s="212">
        <v>200</v>
      </c>
      <c r="U9" s="212">
        <v>200</v>
      </c>
      <c r="V9" s="212">
        <v>250</v>
      </c>
      <c r="W9" s="213">
        <v>250</v>
      </c>
      <c r="X9" s="167"/>
      <c r="Y9" s="153"/>
      <c r="Z9" s="153"/>
      <c r="AA9" s="208" t="s">
        <v>378</v>
      </c>
      <c r="AB9" s="209" t="s">
        <v>399</v>
      </c>
      <c r="AC9" s="209" t="s">
        <v>507</v>
      </c>
      <c r="AD9" s="210" t="s">
        <v>551</v>
      </c>
      <c r="AE9" s="210" t="s">
        <v>401</v>
      </c>
      <c r="AF9" s="211">
        <v>175</v>
      </c>
      <c r="AG9" s="212">
        <v>250</v>
      </c>
      <c r="AH9" s="212">
        <v>250</v>
      </c>
      <c r="AI9" s="212">
        <v>225</v>
      </c>
      <c r="AJ9" s="212">
        <v>300</v>
      </c>
      <c r="AK9" s="213">
        <v>300</v>
      </c>
      <c r="AL9" s="199"/>
      <c r="AM9" s="199"/>
      <c r="AN9" s="199"/>
      <c r="AO9" s="154"/>
      <c r="AX9"/>
      <c r="BY9" s="3"/>
      <c r="BZ9" s="3"/>
      <c r="CA9" s="3"/>
    </row>
    <row r="10" spans="1:79">
      <c r="A10" s="78" t="s">
        <v>246</v>
      </c>
      <c r="B10" s="79">
        <v>200</v>
      </c>
      <c r="C10" s="79">
        <v>250</v>
      </c>
      <c r="D10" s="79">
        <v>250</v>
      </c>
      <c r="M10" s="208" t="s">
        <v>378</v>
      </c>
      <c r="N10" s="209" t="s">
        <v>368</v>
      </c>
      <c r="O10" s="209" t="s">
        <v>508</v>
      </c>
      <c r="P10" s="210" t="s">
        <v>552</v>
      </c>
      <c r="Q10" s="210" t="s">
        <v>371</v>
      </c>
      <c r="R10" s="211">
        <v>150</v>
      </c>
      <c r="S10" s="212">
        <v>175</v>
      </c>
      <c r="T10" s="300">
        <v>250</v>
      </c>
      <c r="U10" s="212">
        <v>175</v>
      </c>
      <c r="V10" s="212">
        <v>200</v>
      </c>
      <c r="W10" s="301">
        <v>250</v>
      </c>
      <c r="X10" s="167"/>
      <c r="Y10" s="153"/>
      <c r="Z10" s="153"/>
      <c r="AA10" s="208" t="s">
        <v>378</v>
      </c>
      <c r="AB10" s="209" t="s">
        <v>368</v>
      </c>
      <c r="AC10" s="209" t="s">
        <v>508</v>
      </c>
      <c r="AD10" s="210" t="s">
        <v>552</v>
      </c>
      <c r="AE10" s="210" t="s">
        <v>371</v>
      </c>
      <c r="AF10" s="211">
        <v>175</v>
      </c>
      <c r="AG10" s="212">
        <v>225</v>
      </c>
      <c r="AH10" s="212">
        <v>275</v>
      </c>
      <c r="AI10" s="212">
        <v>200</v>
      </c>
      <c r="AJ10" s="212">
        <v>250</v>
      </c>
      <c r="AK10" s="213">
        <v>325</v>
      </c>
      <c r="AL10" s="199"/>
      <c r="AM10" s="199"/>
      <c r="AN10" s="199"/>
      <c r="AO10" s="154"/>
      <c r="AX10"/>
      <c r="BY10" s="3"/>
      <c r="BZ10" s="3"/>
      <c r="CA10" s="3"/>
    </row>
    <row r="11" spans="1:79">
      <c r="A11" s="80" t="s">
        <v>13</v>
      </c>
      <c r="B11" s="81">
        <v>300</v>
      </c>
      <c r="C11" s="81">
        <v>350</v>
      </c>
      <c r="D11" s="81">
        <v>350</v>
      </c>
      <c r="F11" s="1" t="s">
        <v>404</v>
      </c>
      <c r="G11" s="141">
        <v>250</v>
      </c>
      <c r="H11" s="141">
        <v>250</v>
      </c>
      <c r="I11" s="141">
        <v>250</v>
      </c>
      <c r="M11" s="208" t="s">
        <v>378</v>
      </c>
      <c r="N11" s="209" t="s">
        <v>368</v>
      </c>
      <c r="O11" s="209" t="s">
        <v>509</v>
      </c>
      <c r="P11" s="210" t="s">
        <v>553</v>
      </c>
      <c r="Q11" s="210" t="s">
        <v>371</v>
      </c>
      <c r="R11" s="211">
        <v>225</v>
      </c>
      <c r="S11" s="212">
        <v>350</v>
      </c>
      <c r="T11" s="212">
        <v>350</v>
      </c>
      <c r="U11" s="212">
        <v>250</v>
      </c>
      <c r="V11" s="212">
        <v>400</v>
      </c>
      <c r="W11" s="213">
        <v>400</v>
      </c>
      <c r="X11" s="167"/>
      <c r="Y11" s="154"/>
      <c r="Z11" s="154"/>
      <c r="AA11" s="208" t="s">
        <v>378</v>
      </c>
      <c r="AB11" s="209" t="s">
        <v>368</v>
      </c>
      <c r="AC11" s="209" t="s">
        <v>509</v>
      </c>
      <c r="AD11" s="210" t="s">
        <v>553</v>
      </c>
      <c r="AE11" s="210" t="s">
        <v>371</v>
      </c>
      <c r="AF11" s="211">
        <v>250</v>
      </c>
      <c r="AG11" s="212">
        <v>400</v>
      </c>
      <c r="AH11" s="212">
        <v>400</v>
      </c>
      <c r="AI11" s="212">
        <v>275</v>
      </c>
      <c r="AJ11" s="212">
        <v>450</v>
      </c>
      <c r="AK11" s="213">
        <v>450</v>
      </c>
      <c r="AL11" s="199"/>
      <c r="AM11" s="199"/>
      <c r="AN11" s="199"/>
      <c r="AO11" s="154"/>
      <c r="AX11"/>
      <c r="BY11" s="3"/>
      <c r="BZ11" s="3"/>
      <c r="CA11" s="3"/>
    </row>
    <row r="12" spans="1:79">
      <c r="A12" s="80" t="s">
        <v>442</v>
      </c>
      <c r="B12" s="150">
        <v>100</v>
      </c>
      <c r="C12" s="150">
        <v>200</v>
      </c>
      <c r="D12" s="150">
        <v>200</v>
      </c>
      <c r="F12" s="1" t="s">
        <v>408</v>
      </c>
      <c r="G12" s="141">
        <v>350</v>
      </c>
      <c r="H12" s="141">
        <v>450</v>
      </c>
      <c r="I12" s="141">
        <v>450</v>
      </c>
      <c r="M12" s="214" t="s">
        <v>398</v>
      </c>
      <c r="N12" s="215" t="s">
        <v>399</v>
      </c>
      <c r="O12" s="215" t="s">
        <v>402</v>
      </c>
      <c r="P12" s="216" t="s">
        <v>553</v>
      </c>
      <c r="Q12" s="216" t="s">
        <v>401</v>
      </c>
      <c r="R12" s="222">
        <v>284.375</v>
      </c>
      <c r="S12" s="223">
        <v>287.5</v>
      </c>
      <c r="T12" s="223">
        <v>287.5</v>
      </c>
      <c r="U12" s="223">
        <v>270.48611111111109</v>
      </c>
      <c r="V12" s="223">
        <v>273.61111111111109</v>
      </c>
      <c r="W12" s="224">
        <v>273.61111111111109</v>
      </c>
      <c r="X12" s="167"/>
      <c r="Y12" s="154"/>
      <c r="Z12" s="154"/>
      <c r="AA12" s="214" t="s">
        <v>398</v>
      </c>
      <c r="AB12" s="215" t="s">
        <v>399</v>
      </c>
      <c r="AC12" s="215" t="s">
        <v>402</v>
      </c>
      <c r="AD12" s="216" t="s">
        <v>553</v>
      </c>
      <c r="AE12" s="216" t="s">
        <v>401</v>
      </c>
      <c r="AF12" s="222">
        <v>284.375</v>
      </c>
      <c r="AG12" s="223">
        <v>287.5</v>
      </c>
      <c r="AH12" s="223">
        <v>287.5</v>
      </c>
      <c r="AI12" s="223">
        <v>270.48611111111109</v>
      </c>
      <c r="AJ12" s="223">
        <v>273.61111111111109</v>
      </c>
      <c r="AK12" s="224">
        <v>273.61111111111109</v>
      </c>
      <c r="AL12" s="199"/>
      <c r="AM12" s="199"/>
      <c r="AN12" s="199"/>
      <c r="AO12" s="154"/>
      <c r="AX12"/>
      <c r="BY12" s="3"/>
      <c r="BZ12" s="3"/>
      <c r="CA12" s="3"/>
    </row>
    <row r="13" spans="1:79">
      <c r="A13" s="80" t="s">
        <v>16</v>
      </c>
      <c r="B13" s="81">
        <v>450</v>
      </c>
      <c r="C13" s="81">
        <v>700</v>
      </c>
      <c r="D13" s="81">
        <v>700</v>
      </c>
      <c r="M13" s="208" t="s">
        <v>378</v>
      </c>
      <c r="N13" s="209" t="s">
        <v>368</v>
      </c>
      <c r="O13" s="209" t="s">
        <v>510</v>
      </c>
      <c r="P13" s="210" t="s">
        <v>554</v>
      </c>
      <c r="Q13" s="210" t="s">
        <v>371</v>
      </c>
      <c r="R13" s="211">
        <v>225</v>
      </c>
      <c r="S13" s="212">
        <v>275</v>
      </c>
      <c r="T13" s="212">
        <v>275</v>
      </c>
      <c r="U13" s="212">
        <v>250</v>
      </c>
      <c r="V13" s="212">
        <v>325</v>
      </c>
      <c r="W13" s="213">
        <v>325</v>
      </c>
      <c r="X13" s="167"/>
      <c r="Y13" s="154"/>
      <c r="Z13" s="154"/>
      <c r="AA13" s="208" t="s">
        <v>378</v>
      </c>
      <c r="AB13" s="209" t="s">
        <v>368</v>
      </c>
      <c r="AC13" s="209" t="s">
        <v>510</v>
      </c>
      <c r="AD13" s="210" t="s">
        <v>554</v>
      </c>
      <c r="AE13" s="210" t="s">
        <v>371</v>
      </c>
      <c r="AF13" s="211">
        <v>250</v>
      </c>
      <c r="AG13" s="212">
        <v>300</v>
      </c>
      <c r="AH13" s="212">
        <v>300</v>
      </c>
      <c r="AI13" s="212">
        <v>275</v>
      </c>
      <c r="AJ13" s="212">
        <v>350</v>
      </c>
      <c r="AK13" s="213">
        <v>350</v>
      </c>
      <c r="AL13" s="199"/>
      <c r="AM13" s="199"/>
      <c r="AN13" s="199"/>
      <c r="AO13" s="154"/>
      <c r="AX13"/>
      <c r="BY13" s="3"/>
      <c r="BZ13" s="3"/>
      <c r="CA13" s="3"/>
    </row>
    <row r="14" spans="1:79">
      <c r="A14" s="80" t="s">
        <v>216</v>
      </c>
      <c r="B14" s="81">
        <v>200</v>
      </c>
      <c r="C14" s="81">
        <v>300</v>
      </c>
      <c r="D14" s="81">
        <v>300</v>
      </c>
      <c r="M14" s="208" t="s">
        <v>378</v>
      </c>
      <c r="N14" s="209" t="s">
        <v>368</v>
      </c>
      <c r="O14" s="209" t="s">
        <v>511</v>
      </c>
      <c r="P14" s="210" t="s">
        <v>555</v>
      </c>
      <c r="Q14" s="210" t="s">
        <v>371</v>
      </c>
      <c r="R14" s="211">
        <v>200</v>
      </c>
      <c r="S14" s="212">
        <v>325</v>
      </c>
      <c r="T14" s="212">
        <v>325</v>
      </c>
      <c r="U14" s="212">
        <v>225</v>
      </c>
      <c r="V14" s="212">
        <v>375</v>
      </c>
      <c r="W14" s="213">
        <v>375</v>
      </c>
      <c r="X14" s="167"/>
      <c r="Y14" s="153"/>
      <c r="Z14" s="153"/>
      <c r="AA14" s="208" t="s">
        <v>378</v>
      </c>
      <c r="AB14" s="209" t="s">
        <v>368</v>
      </c>
      <c r="AC14" s="209" t="s">
        <v>511</v>
      </c>
      <c r="AD14" s="210" t="s">
        <v>555</v>
      </c>
      <c r="AE14" s="210" t="s">
        <v>371</v>
      </c>
      <c r="AF14" s="211">
        <v>225</v>
      </c>
      <c r="AG14" s="212">
        <v>375</v>
      </c>
      <c r="AH14" s="212">
        <v>375</v>
      </c>
      <c r="AI14" s="212">
        <v>250</v>
      </c>
      <c r="AJ14" s="212">
        <v>425</v>
      </c>
      <c r="AK14" s="213">
        <v>425</v>
      </c>
      <c r="AL14" s="199"/>
      <c r="AM14" s="199"/>
      <c r="AN14" s="199"/>
      <c r="AO14" s="154"/>
      <c r="AX14"/>
      <c r="BY14" s="3"/>
      <c r="BZ14" s="3"/>
      <c r="CA14" s="3"/>
    </row>
    <row r="15" spans="1:79">
      <c r="A15" s="80" t="s">
        <v>15</v>
      </c>
      <c r="B15" s="81">
        <v>400</v>
      </c>
      <c r="C15" s="81">
        <v>450</v>
      </c>
      <c r="D15" s="81">
        <v>450</v>
      </c>
      <c r="M15" s="214" t="s">
        <v>398</v>
      </c>
      <c r="N15" s="215" t="s">
        <v>399</v>
      </c>
      <c r="O15" s="215" t="s">
        <v>400</v>
      </c>
      <c r="P15" s="216" t="s">
        <v>555</v>
      </c>
      <c r="Q15" s="216" t="s">
        <v>401</v>
      </c>
      <c r="R15" s="222">
        <v>211.52777777777777</v>
      </c>
      <c r="S15" s="223">
        <v>221.66666666666669</v>
      </c>
      <c r="T15" s="223">
        <v>221.66666666666669</v>
      </c>
      <c r="U15" s="223">
        <v>204.58333333333331</v>
      </c>
      <c r="V15" s="223">
        <v>214.72222222222223</v>
      </c>
      <c r="W15" s="224">
        <v>214.72222222222223</v>
      </c>
      <c r="X15" s="167"/>
      <c r="Y15" s="153"/>
      <c r="Z15" s="153"/>
      <c r="AA15" s="214" t="s">
        <v>398</v>
      </c>
      <c r="AB15" s="215" t="s">
        <v>399</v>
      </c>
      <c r="AC15" s="215" t="s">
        <v>400</v>
      </c>
      <c r="AD15" s="216" t="s">
        <v>555</v>
      </c>
      <c r="AE15" s="216" t="s">
        <v>401</v>
      </c>
      <c r="AF15" s="222">
        <v>211.52777777777777</v>
      </c>
      <c r="AG15" s="223">
        <v>221.66666666666669</v>
      </c>
      <c r="AH15" s="223">
        <v>221.66666666666669</v>
      </c>
      <c r="AI15" s="223">
        <v>204.58333333333331</v>
      </c>
      <c r="AJ15" s="223">
        <v>214.72222222222223</v>
      </c>
      <c r="AK15" s="224">
        <v>214.72222222222223</v>
      </c>
      <c r="AL15" s="199"/>
      <c r="AM15" s="199"/>
      <c r="AN15" s="199"/>
      <c r="AO15" s="154"/>
      <c r="AX15"/>
      <c r="BY15" s="3"/>
      <c r="BZ15" s="3"/>
      <c r="CA15" s="3"/>
    </row>
    <row r="16" spans="1:79">
      <c r="A16" s="80" t="s">
        <v>233</v>
      </c>
      <c r="B16" s="81">
        <v>200</v>
      </c>
      <c r="C16" s="81">
        <v>350</v>
      </c>
      <c r="D16" s="81">
        <v>350</v>
      </c>
      <c r="M16" s="208" t="s">
        <v>378</v>
      </c>
      <c r="N16" s="209" t="s">
        <v>368</v>
      </c>
      <c r="O16" s="209" t="s">
        <v>512</v>
      </c>
      <c r="P16" s="210" t="s">
        <v>556</v>
      </c>
      <c r="Q16" s="210" t="s">
        <v>401</v>
      </c>
      <c r="R16" s="211">
        <v>225</v>
      </c>
      <c r="S16" s="212">
        <v>350</v>
      </c>
      <c r="T16" s="212">
        <v>350</v>
      </c>
      <c r="U16" s="212">
        <v>250</v>
      </c>
      <c r="V16" s="212">
        <v>400</v>
      </c>
      <c r="W16" s="213">
        <v>400</v>
      </c>
      <c r="X16" s="167"/>
      <c r="Y16" s="153"/>
      <c r="Z16" s="153"/>
      <c r="AA16" s="208" t="s">
        <v>378</v>
      </c>
      <c r="AB16" s="209" t="s">
        <v>368</v>
      </c>
      <c r="AC16" s="209" t="s">
        <v>512</v>
      </c>
      <c r="AD16" s="210" t="s">
        <v>556</v>
      </c>
      <c r="AE16" s="210" t="s">
        <v>401</v>
      </c>
      <c r="AF16" s="211">
        <v>250</v>
      </c>
      <c r="AG16" s="212">
        <v>400</v>
      </c>
      <c r="AH16" s="212">
        <v>400</v>
      </c>
      <c r="AI16" s="212">
        <v>275</v>
      </c>
      <c r="AJ16" s="212">
        <v>450</v>
      </c>
      <c r="AK16" s="213">
        <v>450</v>
      </c>
      <c r="AL16" s="199"/>
      <c r="AM16" s="199"/>
      <c r="AN16" s="199"/>
      <c r="AO16" s="154"/>
      <c r="AX16"/>
      <c r="BY16" s="3"/>
      <c r="BZ16" s="3"/>
      <c r="CA16" s="3"/>
    </row>
    <row r="17" spans="1:79">
      <c r="A17" s="80" t="s">
        <v>241</v>
      </c>
      <c r="B17" s="81">
        <v>300</v>
      </c>
      <c r="C17" s="81">
        <v>600</v>
      </c>
      <c r="D17" s="81">
        <v>600</v>
      </c>
      <c r="M17" s="208" t="s">
        <v>378</v>
      </c>
      <c r="N17" s="209" t="s">
        <v>368</v>
      </c>
      <c r="O17" s="209" t="s">
        <v>513</v>
      </c>
      <c r="P17" s="210" t="s">
        <v>557</v>
      </c>
      <c r="Q17" s="210" t="s">
        <v>401</v>
      </c>
      <c r="R17" s="211">
        <v>200</v>
      </c>
      <c r="S17" s="212">
        <v>300</v>
      </c>
      <c r="T17" s="212">
        <v>300</v>
      </c>
      <c r="U17" s="212">
        <v>225</v>
      </c>
      <c r="V17" s="212">
        <v>350</v>
      </c>
      <c r="W17" s="213">
        <v>350</v>
      </c>
      <c r="X17" s="167"/>
      <c r="Y17" s="155"/>
      <c r="Z17" s="155"/>
      <c r="AA17" s="208" t="s">
        <v>378</v>
      </c>
      <c r="AB17" s="209" t="s">
        <v>368</v>
      </c>
      <c r="AC17" s="209" t="s">
        <v>513</v>
      </c>
      <c r="AD17" s="210" t="s">
        <v>557</v>
      </c>
      <c r="AE17" s="210" t="s">
        <v>401</v>
      </c>
      <c r="AF17" s="211">
        <v>225</v>
      </c>
      <c r="AG17" s="212">
        <v>350</v>
      </c>
      <c r="AH17" s="212">
        <v>350</v>
      </c>
      <c r="AI17" s="212">
        <v>250</v>
      </c>
      <c r="AJ17" s="212">
        <v>400</v>
      </c>
      <c r="AK17" s="213">
        <v>400</v>
      </c>
      <c r="AL17" s="199"/>
      <c r="AM17" s="199"/>
      <c r="AN17" s="199"/>
      <c r="AO17" s="154"/>
      <c r="AX17"/>
      <c r="BY17" s="3"/>
      <c r="BZ17" s="3"/>
      <c r="CA17" s="3"/>
    </row>
    <row r="18" spans="1:79">
      <c r="A18" s="80" t="s">
        <v>243</v>
      </c>
      <c r="B18" s="81">
        <v>250</v>
      </c>
      <c r="C18" s="81">
        <v>300</v>
      </c>
      <c r="D18" s="81">
        <v>300</v>
      </c>
      <c r="F18" s="82" t="s">
        <v>407</v>
      </c>
      <c r="G18" s="83" t="s">
        <v>397</v>
      </c>
      <c r="H18" s="83">
        <v>500</v>
      </c>
      <c r="I18" s="83">
        <v>1000</v>
      </c>
      <c r="J18" s="82">
        <v>1000</v>
      </c>
      <c r="M18" s="208" t="s">
        <v>378</v>
      </c>
      <c r="N18" s="209" t="s">
        <v>368</v>
      </c>
      <c r="O18" s="209" t="s">
        <v>514</v>
      </c>
      <c r="P18" s="210" t="s">
        <v>558</v>
      </c>
      <c r="Q18" s="210" t="s">
        <v>401</v>
      </c>
      <c r="R18" s="211">
        <v>175</v>
      </c>
      <c r="S18" s="300">
        <v>275</v>
      </c>
      <c r="T18" s="300">
        <v>275</v>
      </c>
      <c r="U18" s="212">
        <v>200</v>
      </c>
      <c r="V18" s="300">
        <v>325</v>
      </c>
      <c r="W18" s="301">
        <v>325</v>
      </c>
      <c r="X18" s="167"/>
      <c r="Y18" s="154"/>
      <c r="Z18" s="154"/>
      <c r="AA18" s="208" t="s">
        <v>378</v>
      </c>
      <c r="AB18" s="209" t="s">
        <v>368</v>
      </c>
      <c r="AC18" s="209" t="s">
        <v>514</v>
      </c>
      <c r="AD18" s="210" t="s">
        <v>558</v>
      </c>
      <c r="AE18" s="210" t="s">
        <v>401</v>
      </c>
      <c r="AF18" s="211">
        <v>200</v>
      </c>
      <c r="AG18" s="212">
        <v>350</v>
      </c>
      <c r="AH18" s="212">
        <v>350</v>
      </c>
      <c r="AI18" s="212">
        <v>225</v>
      </c>
      <c r="AJ18" s="212">
        <v>400</v>
      </c>
      <c r="AK18" s="213">
        <v>400</v>
      </c>
      <c r="AL18" s="199"/>
      <c r="AM18" s="199"/>
      <c r="AN18" s="199"/>
      <c r="AO18" s="154"/>
      <c r="AX18"/>
      <c r="BY18" s="3"/>
      <c r="BZ18" s="3"/>
      <c r="CA18" s="3"/>
    </row>
    <row r="19" spans="1:79">
      <c r="A19" s="80" t="s">
        <v>244</v>
      </c>
      <c r="B19" s="81">
        <v>250</v>
      </c>
      <c r="C19" s="81">
        <v>500</v>
      </c>
      <c r="D19" s="81">
        <v>500</v>
      </c>
      <c r="F19" s="82" t="s">
        <v>406</v>
      </c>
      <c r="G19" s="83" t="s">
        <v>405</v>
      </c>
      <c r="H19" s="83">
        <v>500</v>
      </c>
      <c r="I19" s="83">
        <v>1000</v>
      </c>
      <c r="J19" s="82">
        <v>1000</v>
      </c>
      <c r="M19" s="208" t="s">
        <v>378</v>
      </c>
      <c r="N19" s="209" t="s">
        <v>368</v>
      </c>
      <c r="O19" s="209" t="s">
        <v>515</v>
      </c>
      <c r="P19" s="210" t="s">
        <v>559</v>
      </c>
      <c r="Q19" s="210" t="s">
        <v>401</v>
      </c>
      <c r="R19" s="211">
        <v>225</v>
      </c>
      <c r="S19" s="212">
        <v>350</v>
      </c>
      <c r="T19" s="212">
        <v>350</v>
      </c>
      <c r="U19" s="212">
        <v>250</v>
      </c>
      <c r="V19" s="212">
        <v>400</v>
      </c>
      <c r="W19" s="213">
        <v>400</v>
      </c>
      <c r="X19" s="167"/>
      <c r="Y19" s="154"/>
      <c r="Z19" s="154"/>
      <c r="AA19" s="208" t="s">
        <v>378</v>
      </c>
      <c r="AB19" s="209" t="s">
        <v>368</v>
      </c>
      <c r="AC19" s="209" t="s">
        <v>515</v>
      </c>
      <c r="AD19" s="210" t="s">
        <v>559</v>
      </c>
      <c r="AE19" s="210" t="s">
        <v>401</v>
      </c>
      <c r="AF19" s="211">
        <v>250</v>
      </c>
      <c r="AG19" s="212">
        <v>400</v>
      </c>
      <c r="AH19" s="212">
        <v>400</v>
      </c>
      <c r="AI19" s="212">
        <v>275</v>
      </c>
      <c r="AJ19" s="212">
        <v>450</v>
      </c>
      <c r="AK19" s="213">
        <v>450</v>
      </c>
      <c r="AL19" s="199"/>
      <c r="AM19" s="199"/>
      <c r="AN19" s="199"/>
      <c r="AO19" s="154"/>
      <c r="AX19"/>
      <c r="BY19" s="3"/>
      <c r="BZ19" s="3"/>
      <c r="CA19" s="3"/>
    </row>
    <row r="20" spans="1:79">
      <c r="A20" s="80" t="s">
        <v>245</v>
      </c>
      <c r="B20" s="81">
        <v>300</v>
      </c>
      <c r="C20" s="81">
        <v>600</v>
      </c>
      <c r="D20" s="81">
        <v>600</v>
      </c>
      <c r="F20" s="82" t="s">
        <v>344</v>
      </c>
      <c r="G20" s="83" t="s">
        <v>345</v>
      </c>
      <c r="H20" s="83">
        <v>500</v>
      </c>
      <c r="I20" s="83">
        <v>850</v>
      </c>
      <c r="J20" s="82">
        <v>850</v>
      </c>
      <c r="M20" s="208" t="s">
        <v>378</v>
      </c>
      <c r="N20" s="209" t="s">
        <v>368</v>
      </c>
      <c r="O20" s="209" t="s">
        <v>516</v>
      </c>
      <c r="P20" s="210" t="s">
        <v>560</v>
      </c>
      <c r="Q20" s="210" t="s">
        <v>401</v>
      </c>
      <c r="R20" s="211">
        <v>150</v>
      </c>
      <c r="S20" s="212">
        <v>200</v>
      </c>
      <c r="T20" s="212">
        <v>200</v>
      </c>
      <c r="U20" s="212">
        <v>175</v>
      </c>
      <c r="V20" s="212">
        <v>250</v>
      </c>
      <c r="W20" s="213">
        <v>250</v>
      </c>
      <c r="X20" s="167"/>
      <c r="Y20" s="154"/>
      <c r="Z20" s="154"/>
      <c r="AA20" s="208" t="s">
        <v>378</v>
      </c>
      <c r="AB20" s="209" t="s">
        <v>368</v>
      </c>
      <c r="AC20" s="209" t="s">
        <v>516</v>
      </c>
      <c r="AD20" s="210" t="s">
        <v>560</v>
      </c>
      <c r="AE20" s="210" t="s">
        <v>401</v>
      </c>
      <c r="AF20" s="211">
        <v>175</v>
      </c>
      <c r="AG20" s="212">
        <v>250</v>
      </c>
      <c r="AH20" s="212">
        <v>250</v>
      </c>
      <c r="AI20" s="212">
        <v>200</v>
      </c>
      <c r="AJ20" s="212">
        <v>300</v>
      </c>
      <c r="AK20" s="213">
        <v>300</v>
      </c>
      <c r="AL20" s="199"/>
      <c r="AM20" s="199"/>
      <c r="AN20" s="199"/>
      <c r="AO20" s="154"/>
      <c r="AX20"/>
      <c r="BY20" s="3"/>
      <c r="BZ20" s="3"/>
      <c r="CA20" s="3"/>
    </row>
    <row r="21" spans="1:79">
      <c r="A21" s="80" t="s">
        <v>257</v>
      </c>
      <c r="B21" s="81">
        <v>400</v>
      </c>
      <c r="C21" s="81">
        <v>600</v>
      </c>
      <c r="D21" s="81">
        <v>600</v>
      </c>
      <c r="F21" s="82" t="s">
        <v>342</v>
      </c>
      <c r="G21" s="83" t="s">
        <v>343</v>
      </c>
      <c r="H21" s="83">
        <v>525</v>
      </c>
      <c r="I21" s="83">
        <v>1025</v>
      </c>
      <c r="J21" s="82">
        <v>1025</v>
      </c>
      <c r="M21" s="208" t="s">
        <v>378</v>
      </c>
      <c r="N21" s="209" t="s">
        <v>368</v>
      </c>
      <c r="O21" s="209" t="s">
        <v>517</v>
      </c>
      <c r="P21" s="210" t="s">
        <v>561</v>
      </c>
      <c r="Q21" s="210" t="s">
        <v>371</v>
      </c>
      <c r="R21" s="211">
        <v>150</v>
      </c>
      <c r="S21" s="212">
        <v>200</v>
      </c>
      <c r="T21" s="212">
        <v>200</v>
      </c>
      <c r="U21" s="212">
        <v>175</v>
      </c>
      <c r="V21" s="212">
        <v>250</v>
      </c>
      <c r="W21" s="213">
        <v>250</v>
      </c>
      <c r="X21" s="167"/>
      <c r="Y21" s="155"/>
      <c r="Z21" s="155"/>
      <c r="AA21" s="208" t="s">
        <v>378</v>
      </c>
      <c r="AB21" s="209" t="s">
        <v>368</v>
      </c>
      <c r="AC21" s="209" t="s">
        <v>517</v>
      </c>
      <c r="AD21" s="210" t="s">
        <v>561</v>
      </c>
      <c r="AE21" s="210" t="s">
        <v>371</v>
      </c>
      <c r="AF21" s="211">
        <v>175</v>
      </c>
      <c r="AG21" s="212">
        <v>250</v>
      </c>
      <c r="AH21" s="212">
        <v>250</v>
      </c>
      <c r="AI21" s="212">
        <v>200</v>
      </c>
      <c r="AJ21" s="212">
        <v>300</v>
      </c>
      <c r="AK21" s="213">
        <v>300</v>
      </c>
      <c r="AL21" s="199"/>
      <c r="AM21" s="199"/>
      <c r="AN21" s="199"/>
      <c r="AO21" s="154"/>
      <c r="AX21"/>
      <c r="BY21" s="3"/>
      <c r="BZ21" s="108"/>
      <c r="CA21" s="108"/>
    </row>
    <row r="22" spans="1:79">
      <c r="A22" s="82" t="s">
        <v>14</v>
      </c>
      <c r="B22" s="149">
        <v>250</v>
      </c>
      <c r="C22" s="149">
        <v>300</v>
      </c>
      <c r="D22" s="149">
        <v>300</v>
      </c>
      <c r="F22" s="82" t="s">
        <v>348</v>
      </c>
      <c r="G22" s="83" t="s">
        <v>349</v>
      </c>
      <c r="H22" s="83">
        <v>500</v>
      </c>
      <c r="I22" s="83">
        <v>600</v>
      </c>
      <c r="J22" s="82">
        <v>600</v>
      </c>
      <c r="M22" s="208" t="s">
        <v>378</v>
      </c>
      <c r="N22" s="209" t="s">
        <v>368</v>
      </c>
      <c r="O22" s="209" t="s">
        <v>518</v>
      </c>
      <c r="P22" s="210" t="s">
        <v>562</v>
      </c>
      <c r="Q22" s="210" t="s">
        <v>371</v>
      </c>
      <c r="R22" s="211">
        <v>150</v>
      </c>
      <c r="S22" s="212">
        <v>250</v>
      </c>
      <c r="T22" s="212">
        <v>250</v>
      </c>
      <c r="U22" s="212">
        <v>175</v>
      </c>
      <c r="V22" s="212">
        <v>300</v>
      </c>
      <c r="W22" s="213">
        <v>300</v>
      </c>
      <c r="X22" s="167"/>
      <c r="Y22" s="155"/>
      <c r="Z22" s="155"/>
      <c r="AA22" s="208" t="s">
        <v>378</v>
      </c>
      <c r="AB22" s="209" t="s">
        <v>368</v>
      </c>
      <c r="AC22" s="209" t="s">
        <v>518</v>
      </c>
      <c r="AD22" s="210" t="s">
        <v>562</v>
      </c>
      <c r="AE22" s="210" t="s">
        <v>371</v>
      </c>
      <c r="AF22" s="211">
        <v>175</v>
      </c>
      <c r="AG22" s="212">
        <v>300</v>
      </c>
      <c r="AH22" s="212">
        <v>300</v>
      </c>
      <c r="AI22" s="212">
        <v>200</v>
      </c>
      <c r="AJ22" s="212">
        <v>350</v>
      </c>
      <c r="AK22" s="213">
        <v>350</v>
      </c>
      <c r="AL22" s="199"/>
      <c r="AM22" s="199"/>
      <c r="AN22" s="199"/>
      <c r="AO22" s="154"/>
      <c r="AX22"/>
      <c r="BY22" s="108"/>
      <c r="BZ22" s="108"/>
      <c r="CA22" s="108"/>
    </row>
    <row r="23" spans="1:79">
      <c r="A23" s="84" t="s">
        <v>212</v>
      </c>
      <c r="B23" s="149">
        <v>250</v>
      </c>
      <c r="C23" s="149">
        <v>300</v>
      </c>
      <c r="D23" s="149">
        <v>300</v>
      </c>
      <c r="F23" s="82" t="s">
        <v>355</v>
      </c>
      <c r="G23" s="83" t="s">
        <v>354</v>
      </c>
      <c r="H23" s="83">
        <v>500</v>
      </c>
      <c r="I23" s="83">
        <v>900</v>
      </c>
      <c r="J23" s="82">
        <v>900</v>
      </c>
      <c r="M23" s="208" t="s">
        <v>378</v>
      </c>
      <c r="N23" s="209" t="s">
        <v>368</v>
      </c>
      <c r="O23" s="209" t="s">
        <v>468</v>
      </c>
      <c r="P23" s="210" t="s">
        <v>563</v>
      </c>
      <c r="Q23" s="210" t="s">
        <v>371</v>
      </c>
      <c r="R23" s="211">
        <v>200</v>
      </c>
      <c r="S23" s="212">
        <v>275</v>
      </c>
      <c r="T23" s="212">
        <v>275</v>
      </c>
      <c r="U23" s="212">
        <v>225</v>
      </c>
      <c r="V23" s="212">
        <v>300</v>
      </c>
      <c r="W23" s="213">
        <v>300</v>
      </c>
      <c r="X23" s="167"/>
      <c r="Y23" s="155"/>
      <c r="Z23" s="155"/>
      <c r="AA23" s="208" t="s">
        <v>378</v>
      </c>
      <c r="AB23" s="209" t="s">
        <v>368</v>
      </c>
      <c r="AC23" s="209" t="s">
        <v>468</v>
      </c>
      <c r="AD23" s="210" t="s">
        <v>563</v>
      </c>
      <c r="AE23" s="210" t="s">
        <v>371</v>
      </c>
      <c r="AF23" s="211">
        <v>225</v>
      </c>
      <c r="AG23" s="212">
        <v>325</v>
      </c>
      <c r="AH23" s="212">
        <v>325</v>
      </c>
      <c r="AI23" s="212">
        <v>250</v>
      </c>
      <c r="AJ23" s="212">
        <v>350</v>
      </c>
      <c r="AK23" s="213">
        <v>350</v>
      </c>
      <c r="AL23" s="199"/>
      <c r="AM23" s="199"/>
      <c r="AN23" s="199"/>
      <c r="AO23" s="154"/>
      <c r="AX23"/>
      <c r="BY23" s="108"/>
      <c r="BZ23" s="108"/>
      <c r="CA23" s="108"/>
    </row>
    <row r="24" spans="1:79">
      <c r="A24" s="84" t="s">
        <v>220</v>
      </c>
      <c r="B24" s="85">
        <v>500</v>
      </c>
      <c r="C24" s="85">
        <v>800</v>
      </c>
      <c r="D24" s="85">
        <v>800</v>
      </c>
      <c r="F24" s="82" t="s">
        <v>357</v>
      </c>
      <c r="G24" s="83" t="s">
        <v>358</v>
      </c>
      <c r="H24" s="83">
        <v>300</v>
      </c>
      <c r="I24" s="83">
        <v>600</v>
      </c>
      <c r="J24" s="82">
        <v>600</v>
      </c>
      <c r="M24" s="208" t="s">
        <v>378</v>
      </c>
      <c r="N24" s="209" t="s">
        <v>368</v>
      </c>
      <c r="O24" s="209" t="s">
        <v>469</v>
      </c>
      <c r="P24" s="210" t="s">
        <v>564</v>
      </c>
      <c r="Q24" s="210" t="s">
        <v>371</v>
      </c>
      <c r="R24" s="211">
        <v>300</v>
      </c>
      <c r="S24" s="212">
        <v>425</v>
      </c>
      <c r="T24" s="212">
        <v>425</v>
      </c>
      <c r="U24" s="212">
        <v>325</v>
      </c>
      <c r="V24" s="212">
        <v>450</v>
      </c>
      <c r="W24" s="213">
        <v>450</v>
      </c>
      <c r="X24" s="168"/>
      <c r="Y24" s="154"/>
      <c r="Z24" s="154"/>
      <c r="AA24" s="208" t="s">
        <v>378</v>
      </c>
      <c r="AB24" s="209" t="s">
        <v>368</v>
      </c>
      <c r="AC24" s="209" t="s">
        <v>469</v>
      </c>
      <c r="AD24" s="210" t="s">
        <v>564</v>
      </c>
      <c r="AE24" s="210" t="s">
        <v>371</v>
      </c>
      <c r="AF24" s="211">
        <v>325</v>
      </c>
      <c r="AG24" s="212">
        <v>475</v>
      </c>
      <c r="AH24" s="212">
        <v>475</v>
      </c>
      <c r="AI24" s="212">
        <v>350</v>
      </c>
      <c r="AJ24" s="212">
        <v>500</v>
      </c>
      <c r="AK24" s="213">
        <v>500</v>
      </c>
      <c r="AL24" s="199"/>
      <c r="AM24" s="199"/>
      <c r="AN24" s="199"/>
      <c r="AO24" s="154"/>
      <c r="AX24"/>
      <c r="BY24" s="108"/>
      <c r="BZ24" s="108"/>
      <c r="CA24" s="108"/>
    </row>
    <row r="25" spans="1:79">
      <c r="A25" s="84" t="s">
        <v>228</v>
      </c>
      <c r="B25" s="85">
        <v>250</v>
      </c>
      <c r="C25" s="85">
        <v>600</v>
      </c>
      <c r="D25" s="85">
        <v>600</v>
      </c>
      <c r="F25" s="82" t="s">
        <v>360</v>
      </c>
      <c r="G25" s="83" t="s">
        <v>359</v>
      </c>
      <c r="H25" s="83">
        <v>400</v>
      </c>
      <c r="I25" s="83">
        <v>700</v>
      </c>
      <c r="J25" s="83">
        <v>700</v>
      </c>
      <c r="M25" s="208" t="s">
        <v>378</v>
      </c>
      <c r="N25" s="209" t="s">
        <v>368</v>
      </c>
      <c r="O25" s="302" t="s">
        <v>565</v>
      </c>
      <c r="P25" s="210" t="s">
        <v>566</v>
      </c>
      <c r="Q25" s="210" t="s">
        <v>371</v>
      </c>
      <c r="R25" s="211">
        <v>200</v>
      </c>
      <c r="S25" s="212">
        <v>325</v>
      </c>
      <c r="T25" s="212">
        <v>325</v>
      </c>
      <c r="U25" s="212">
        <v>225</v>
      </c>
      <c r="V25" s="212">
        <v>375</v>
      </c>
      <c r="W25" s="213">
        <v>375</v>
      </c>
      <c r="X25" s="167"/>
      <c r="Y25" s="154"/>
      <c r="Z25" s="154"/>
      <c r="AA25" s="208" t="s">
        <v>378</v>
      </c>
      <c r="AB25" s="209" t="s">
        <v>368</v>
      </c>
      <c r="AC25" s="302" t="s">
        <v>565</v>
      </c>
      <c r="AD25" s="210" t="s">
        <v>566</v>
      </c>
      <c r="AE25" s="210" t="s">
        <v>371</v>
      </c>
      <c r="AF25" s="211">
        <v>225</v>
      </c>
      <c r="AG25" s="212">
        <v>375</v>
      </c>
      <c r="AH25" s="212">
        <v>375</v>
      </c>
      <c r="AI25" s="212">
        <v>250</v>
      </c>
      <c r="AJ25" s="212">
        <v>425</v>
      </c>
      <c r="AK25" s="213">
        <v>425</v>
      </c>
      <c r="AL25" s="199"/>
      <c r="AM25" s="199"/>
      <c r="AN25" s="199"/>
      <c r="AO25" s="154"/>
      <c r="AX25"/>
      <c r="BY25" s="108"/>
      <c r="BZ25" s="108"/>
      <c r="CA25" s="108"/>
    </row>
    <row r="26" spans="1:79">
      <c r="A26" s="84" t="s">
        <v>231</v>
      </c>
      <c r="B26" s="85">
        <v>400</v>
      </c>
      <c r="C26" s="85">
        <v>600</v>
      </c>
      <c r="D26" s="85">
        <v>600</v>
      </c>
      <c r="F26" s="82" t="s">
        <v>396</v>
      </c>
      <c r="G26" s="83" t="s">
        <v>397</v>
      </c>
      <c r="H26" s="83">
        <v>500</v>
      </c>
      <c r="I26" s="83">
        <v>1000</v>
      </c>
      <c r="J26" s="83">
        <v>1000</v>
      </c>
      <c r="M26" s="208" t="s">
        <v>378</v>
      </c>
      <c r="N26" s="209" t="s">
        <v>380</v>
      </c>
      <c r="O26" s="209" t="s">
        <v>519</v>
      </c>
      <c r="P26" s="210" t="s">
        <v>567</v>
      </c>
      <c r="Q26" s="210" t="s">
        <v>371</v>
      </c>
      <c r="R26" s="211">
        <v>200</v>
      </c>
      <c r="S26" s="212">
        <v>350</v>
      </c>
      <c r="T26" s="212">
        <v>350</v>
      </c>
      <c r="U26" s="212">
        <v>250</v>
      </c>
      <c r="V26" s="212">
        <v>400</v>
      </c>
      <c r="W26" s="213">
        <v>400</v>
      </c>
      <c r="X26" s="167"/>
      <c r="Y26" s="154"/>
      <c r="Z26" s="154"/>
      <c r="AA26" s="208" t="s">
        <v>378</v>
      </c>
      <c r="AB26" s="209" t="s">
        <v>380</v>
      </c>
      <c r="AC26" s="209" t="s">
        <v>519</v>
      </c>
      <c r="AD26" s="210" t="s">
        <v>567</v>
      </c>
      <c r="AE26" s="210" t="s">
        <v>371</v>
      </c>
      <c r="AF26" s="211">
        <v>225</v>
      </c>
      <c r="AG26" s="212">
        <v>400</v>
      </c>
      <c r="AH26" s="212">
        <v>400</v>
      </c>
      <c r="AI26" s="212">
        <v>275</v>
      </c>
      <c r="AJ26" s="212">
        <v>450</v>
      </c>
      <c r="AK26" s="213">
        <v>450</v>
      </c>
      <c r="AL26" s="199"/>
      <c r="AM26" s="199"/>
      <c r="AN26" s="199"/>
      <c r="AO26" s="154"/>
      <c r="AX26"/>
      <c r="BY26" s="108"/>
      <c r="BZ26" s="108"/>
      <c r="CA26" s="108"/>
    </row>
    <row r="27" spans="1:79">
      <c r="A27" s="86" t="s">
        <v>213</v>
      </c>
      <c r="B27" s="87">
        <v>150</v>
      </c>
      <c r="C27" s="87">
        <v>200</v>
      </c>
      <c r="D27" s="87">
        <v>200</v>
      </c>
      <c r="F27"/>
      <c r="M27" s="214" t="s">
        <v>398</v>
      </c>
      <c r="N27" s="215" t="s">
        <v>380</v>
      </c>
      <c r="O27" s="215" t="s">
        <v>381</v>
      </c>
      <c r="P27" s="216" t="s">
        <v>567</v>
      </c>
      <c r="Q27" s="216" t="s">
        <v>371</v>
      </c>
      <c r="R27" s="222">
        <v>346.875</v>
      </c>
      <c r="S27" s="223">
        <v>354.16666666666663</v>
      </c>
      <c r="T27" s="223">
        <v>354.16666666666663</v>
      </c>
      <c r="U27" s="223">
        <v>339.93055555555554</v>
      </c>
      <c r="V27" s="223">
        <v>347.22222222222223</v>
      </c>
      <c r="W27" s="224">
        <v>347.22222222222223</v>
      </c>
      <c r="X27" s="167"/>
      <c r="Y27" s="154"/>
      <c r="Z27" s="154"/>
      <c r="AA27" s="214" t="s">
        <v>398</v>
      </c>
      <c r="AB27" s="215" t="s">
        <v>380</v>
      </c>
      <c r="AC27" s="215" t="s">
        <v>381</v>
      </c>
      <c r="AD27" s="216" t="s">
        <v>567</v>
      </c>
      <c r="AE27" s="216" t="s">
        <v>371</v>
      </c>
      <c r="AF27" s="222">
        <v>346.875</v>
      </c>
      <c r="AG27" s="223">
        <v>354.16666666666663</v>
      </c>
      <c r="AH27" s="223">
        <v>354.16666666666663</v>
      </c>
      <c r="AI27" s="223">
        <v>339.93055555555554</v>
      </c>
      <c r="AJ27" s="223">
        <v>347.22222222222223</v>
      </c>
      <c r="AK27" s="224">
        <v>347.22222222222223</v>
      </c>
      <c r="AL27" s="199"/>
      <c r="AM27" s="199"/>
      <c r="AN27" s="199"/>
      <c r="AO27" s="154"/>
      <c r="AX27"/>
      <c r="BY27" s="108"/>
      <c r="BZ27" s="108"/>
      <c r="CA27" s="108"/>
    </row>
    <row r="28" spans="1:79">
      <c r="A28" s="86" t="s">
        <v>443</v>
      </c>
      <c r="B28" s="87">
        <v>200</v>
      </c>
      <c r="C28" s="87">
        <v>250</v>
      </c>
      <c r="D28" s="87">
        <v>250</v>
      </c>
      <c r="M28" s="208" t="s">
        <v>378</v>
      </c>
      <c r="N28" s="209" t="s">
        <v>380</v>
      </c>
      <c r="O28" s="209" t="s">
        <v>520</v>
      </c>
      <c r="P28" s="210" t="s">
        <v>568</v>
      </c>
      <c r="Q28" s="210" t="s">
        <v>401</v>
      </c>
      <c r="R28" s="211">
        <v>225</v>
      </c>
      <c r="S28" s="212">
        <v>375</v>
      </c>
      <c r="T28" s="212">
        <v>375</v>
      </c>
      <c r="U28" s="212">
        <v>250</v>
      </c>
      <c r="V28" s="212">
        <v>425</v>
      </c>
      <c r="W28" s="213">
        <v>425</v>
      </c>
      <c r="X28" s="167"/>
      <c r="Y28" s="155"/>
      <c r="Z28" s="155"/>
      <c r="AA28" s="208" t="s">
        <v>378</v>
      </c>
      <c r="AB28" s="209" t="s">
        <v>380</v>
      </c>
      <c r="AC28" s="209" t="s">
        <v>520</v>
      </c>
      <c r="AD28" s="210" t="s">
        <v>568</v>
      </c>
      <c r="AE28" s="210" t="s">
        <v>401</v>
      </c>
      <c r="AF28" s="211">
        <v>250</v>
      </c>
      <c r="AG28" s="212">
        <v>425</v>
      </c>
      <c r="AH28" s="212">
        <v>425</v>
      </c>
      <c r="AI28" s="212">
        <v>275</v>
      </c>
      <c r="AJ28" s="212">
        <v>475</v>
      </c>
      <c r="AK28" s="213">
        <v>475</v>
      </c>
      <c r="AL28" s="199"/>
      <c r="AM28" s="199"/>
      <c r="AN28" s="199"/>
      <c r="AO28" s="154"/>
      <c r="AX28"/>
      <c r="BY28" s="108"/>
      <c r="BZ28" s="108"/>
      <c r="CA28" s="108"/>
    </row>
    <row r="29" spans="1:79">
      <c r="A29" s="86" t="s">
        <v>208</v>
      </c>
      <c r="B29" s="87">
        <f>B27+100</f>
        <v>250</v>
      </c>
      <c r="C29" s="87">
        <f>C27+150</f>
        <v>350</v>
      </c>
      <c r="D29" s="87">
        <f>D27+150</f>
        <v>350</v>
      </c>
      <c r="F29" s="88" t="s">
        <v>392</v>
      </c>
      <c r="G29" s="89" t="s">
        <v>393</v>
      </c>
      <c r="H29" s="89">
        <v>800</v>
      </c>
      <c r="I29" s="89">
        <v>1600</v>
      </c>
      <c r="J29" s="88">
        <v>1600</v>
      </c>
      <c r="M29" s="208" t="s">
        <v>378</v>
      </c>
      <c r="N29" s="209" t="s">
        <v>380</v>
      </c>
      <c r="O29" s="209" t="s">
        <v>521</v>
      </c>
      <c r="P29" s="210" t="s">
        <v>569</v>
      </c>
      <c r="Q29" s="210" t="s">
        <v>401</v>
      </c>
      <c r="R29" s="211">
        <v>225</v>
      </c>
      <c r="S29" s="212">
        <v>425</v>
      </c>
      <c r="T29" s="212">
        <v>425</v>
      </c>
      <c r="U29" s="212">
        <v>250</v>
      </c>
      <c r="V29" s="212">
        <v>475</v>
      </c>
      <c r="W29" s="213">
        <v>475</v>
      </c>
      <c r="X29" s="167"/>
      <c r="Y29" s="155"/>
      <c r="Z29" s="155"/>
      <c r="AA29" s="208" t="s">
        <v>378</v>
      </c>
      <c r="AB29" s="209" t="s">
        <v>380</v>
      </c>
      <c r="AC29" s="209" t="s">
        <v>521</v>
      </c>
      <c r="AD29" s="210" t="s">
        <v>569</v>
      </c>
      <c r="AE29" s="210" t="s">
        <v>401</v>
      </c>
      <c r="AF29" s="211">
        <v>250</v>
      </c>
      <c r="AG29" s="212">
        <v>475</v>
      </c>
      <c r="AH29" s="212">
        <v>475</v>
      </c>
      <c r="AI29" s="212">
        <v>275</v>
      </c>
      <c r="AJ29" s="212">
        <v>525</v>
      </c>
      <c r="AK29" s="213">
        <v>525</v>
      </c>
      <c r="AL29" s="199"/>
      <c r="AM29" s="199"/>
      <c r="AN29" s="199"/>
      <c r="AO29" s="154"/>
      <c r="AX29"/>
      <c r="BY29" s="108"/>
      <c r="BZ29" s="108"/>
      <c r="CA29" s="108"/>
    </row>
    <row r="30" spans="1:79">
      <c r="A30" s="86" t="s">
        <v>248</v>
      </c>
      <c r="B30" s="87">
        <f>B27+110</f>
        <v>260</v>
      </c>
      <c r="C30" s="87">
        <f>C27+120</f>
        <v>320</v>
      </c>
      <c r="D30" s="87">
        <f>D27+120</f>
        <v>320</v>
      </c>
      <c r="F30" s="88"/>
      <c r="G30" s="89" t="s">
        <v>394</v>
      </c>
      <c r="H30" s="89">
        <v>1000</v>
      </c>
      <c r="I30" s="89">
        <v>1800</v>
      </c>
      <c r="J30" s="88">
        <v>1800</v>
      </c>
      <c r="M30" s="208" t="s">
        <v>378</v>
      </c>
      <c r="N30" s="209" t="s">
        <v>380</v>
      </c>
      <c r="O30" s="209" t="s">
        <v>522</v>
      </c>
      <c r="P30" s="210" t="s">
        <v>570</v>
      </c>
      <c r="Q30" s="210" t="s">
        <v>371</v>
      </c>
      <c r="R30" s="211">
        <v>225</v>
      </c>
      <c r="S30" s="212">
        <v>350</v>
      </c>
      <c r="T30" s="212">
        <v>350</v>
      </c>
      <c r="U30" s="212">
        <v>250</v>
      </c>
      <c r="V30" s="212">
        <v>400</v>
      </c>
      <c r="W30" s="213">
        <v>400</v>
      </c>
      <c r="X30" s="167"/>
      <c r="Y30" s="155"/>
      <c r="Z30" s="155"/>
      <c r="AA30" s="208" t="s">
        <v>378</v>
      </c>
      <c r="AB30" s="209" t="s">
        <v>380</v>
      </c>
      <c r="AC30" s="209" t="s">
        <v>522</v>
      </c>
      <c r="AD30" s="210" t="s">
        <v>570</v>
      </c>
      <c r="AE30" s="210" t="s">
        <v>371</v>
      </c>
      <c r="AF30" s="211">
        <v>250</v>
      </c>
      <c r="AG30" s="212">
        <v>400</v>
      </c>
      <c r="AH30" s="212">
        <v>400</v>
      </c>
      <c r="AI30" s="212">
        <v>275</v>
      </c>
      <c r="AJ30" s="212">
        <v>450</v>
      </c>
      <c r="AK30" s="213">
        <v>450</v>
      </c>
      <c r="AL30" s="199"/>
      <c r="AM30" s="199"/>
      <c r="AN30" s="199"/>
      <c r="AO30" s="154"/>
      <c r="AX30"/>
      <c r="BY30" s="108"/>
      <c r="BZ30" s="108"/>
      <c r="CA30" s="108"/>
    </row>
    <row r="31" spans="1:79">
      <c r="A31" s="88" t="s">
        <v>209</v>
      </c>
      <c r="B31" s="89">
        <v>0</v>
      </c>
      <c r="C31" s="89">
        <v>0</v>
      </c>
      <c r="D31" s="89">
        <v>0</v>
      </c>
      <c r="F31" s="88"/>
      <c r="G31" s="89" t="s">
        <v>395</v>
      </c>
      <c r="H31" s="89">
        <v>1040</v>
      </c>
      <c r="I31" s="89">
        <v>2080</v>
      </c>
      <c r="J31" s="88">
        <v>2080</v>
      </c>
      <c r="M31" s="208" t="s">
        <v>378</v>
      </c>
      <c r="N31" s="209" t="s">
        <v>383</v>
      </c>
      <c r="O31" s="209" t="s">
        <v>523</v>
      </c>
      <c r="P31" s="210" t="s">
        <v>571</v>
      </c>
      <c r="Q31" s="210" t="s">
        <v>371</v>
      </c>
      <c r="R31" s="211">
        <v>200</v>
      </c>
      <c r="S31" s="212">
        <v>400</v>
      </c>
      <c r="T31" s="212">
        <v>400</v>
      </c>
      <c r="U31" s="212">
        <v>225</v>
      </c>
      <c r="V31" s="212">
        <v>450</v>
      </c>
      <c r="W31" s="213">
        <v>450</v>
      </c>
      <c r="X31" s="167"/>
      <c r="Y31" s="154"/>
      <c r="Z31" s="154"/>
      <c r="AA31" s="208" t="s">
        <v>378</v>
      </c>
      <c r="AB31" s="209" t="s">
        <v>383</v>
      </c>
      <c r="AC31" s="209" t="s">
        <v>523</v>
      </c>
      <c r="AD31" s="210" t="s">
        <v>571</v>
      </c>
      <c r="AE31" s="210" t="s">
        <v>371</v>
      </c>
      <c r="AF31" s="211">
        <v>225</v>
      </c>
      <c r="AG31" s="212">
        <v>450</v>
      </c>
      <c r="AH31" s="212">
        <v>450</v>
      </c>
      <c r="AI31" s="212">
        <v>250</v>
      </c>
      <c r="AJ31" s="212">
        <v>500</v>
      </c>
      <c r="AK31" s="213">
        <v>500</v>
      </c>
      <c r="AL31" s="199"/>
      <c r="AM31" s="199"/>
      <c r="AN31" s="199"/>
      <c r="AO31" s="154"/>
      <c r="AX31"/>
      <c r="BY31" s="108"/>
      <c r="BZ31" s="108"/>
      <c r="CA31" s="108"/>
    </row>
    <row r="32" spans="1:79">
      <c r="A32" s="88" t="s">
        <v>210</v>
      </c>
      <c r="B32" s="89">
        <v>150</v>
      </c>
      <c r="C32" s="89">
        <v>150</v>
      </c>
      <c r="D32" s="89">
        <v>150</v>
      </c>
      <c r="M32" s="208" t="s">
        <v>378</v>
      </c>
      <c r="N32" s="209" t="s">
        <v>461</v>
      </c>
      <c r="O32" s="209" t="s">
        <v>524</v>
      </c>
      <c r="P32" s="303" t="s">
        <v>572</v>
      </c>
      <c r="Q32" s="210" t="s">
        <v>371</v>
      </c>
      <c r="R32" s="211">
        <v>200</v>
      </c>
      <c r="S32" s="300">
        <v>375</v>
      </c>
      <c r="T32" s="300">
        <v>375</v>
      </c>
      <c r="U32" s="212">
        <v>225</v>
      </c>
      <c r="V32" s="300">
        <v>425</v>
      </c>
      <c r="W32" s="301">
        <v>425</v>
      </c>
      <c r="X32" s="167"/>
      <c r="Y32" s="154"/>
      <c r="Z32" s="154"/>
      <c r="AA32" s="208" t="s">
        <v>378</v>
      </c>
      <c r="AB32" s="209" t="s">
        <v>461</v>
      </c>
      <c r="AC32" s="209" t="s">
        <v>524</v>
      </c>
      <c r="AD32" s="303" t="s">
        <v>572</v>
      </c>
      <c r="AE32" s="210" t="s">
        <v>371</v>
      </c>
      <c r="AF32" s="211">
        <v>225</v>
      </c>
      <c r="AG32" s="212">
        <v>475</v>
      </c>
      <c r="AH32" s="212">
        <v>475</v>
      </c>
      <c r="AI32" s="212">
        <v>250</v>
      </c>
      <c r="AJ32" s="212">
        <v>525</v>
      </c>
      <c r="AK32" s="213">
        <v>525</v>
      </c>
      <c r="AL32" s="199"/>
      <c r="AM32" s="199"/>
      <c r="AN32" s="199"/>
      <c r="AO32" s="154"/>
      <c r="AX32"/>
      <c r="BY32" s="108"/>
      <c r="BZ32" s="108"/>
      <c r="CA32" s="108"/>
    </row>
    <row r="33" spans="1:79">
      <c r="A33" s="88" t="s">
        <v>214</v>
      </c>
      <c r="B33" s="89">
        <v>150</v>
      </c>
      <c r="C33" s="89">
        <v>150</v>
      </c>
      <c r="D33" s="89">
        <v>150</v>
      </c>
      <c r="M33" s="208" t="s">
        <v>378</v>
      </c>
      <c r="N33" s="209" t="s">
        <v>461</v>
      </c>
      <c r="O33" s="209" t="s">
        <v>525</v>
      </c>
      <c r="P33" s="210" t="s">
        <v>573</v>
      </c>
      <c r="Q33" s="210" t="s">
        <v>371</v>
      </c>
      <c r="R33" s="211">
        <v>200</v>
      </c>
      <c r="S33" s="300">
        <v>500</v>
      </c>
      <c r="T33" s="300">
        <v>500</v>
      </c>
      <c r="U33" s="212">
        <v>225</v>
      </c>
      <c r="V33" s="300">
        <v>550</v>
      </c>
      <c r="W33" s="301">
        <v>550</v>
      </c>
      <c r="X33" s="167"/>
      <c r="Y33" s="154"/>
      <c r="Z33" s="154"/>
      <c r="AA33" s="208" t="s">
        <v>378</v>
      </c>
      <c r="AB33" s="209" t="s">
        <v>461</v>
      </c>
      <c r="AC33" s="209" t="s">
        <v>525</v>
      </c>
      <c r="AD33" s="210" t="s">
        <v>573</v>
      </c>
      <c r="AE33" s="210" t="s">
        <v>371</v>
      </c>
      <c r="AF33" s="211">
        <v>225</v>
      </c>
      <c r="AG33" s="212">
        <v>575</v>
      </c>
      <c r="AH33" s="212">
        <v>575</v>
      </c>
      <c r="AI33" s="212">
        <v>250</v>
      </c>
      <c r="AJ33" s="212">
        <v>625</v>
      </c>
      <c r="AK33" s="213">
        <v>625</v>
      </c>
      <c r="AL33" s="199"/>
      <c r="AM33" s="199"/>
      <c r="AN33" s="199"/>
      <c r="AO33" s="154"/>
      <c r="AX33"/>
      <c r="BY33" s="108"/>
      <c r="BZ33" s="108"/>
      <c r="CA33" s="108"/>
    </row>
    <row r="34" spans="1:79">
      <c r="A34" s="88" t="s">
        <v>255</v>
      </c>
      <c r="B34" s="89">
        <v>350</v>
      </c>
      <c r="C34" s="89">
        <v>450</v>
      </c>
      <c r="D34" s="89">
        <v>450</v>
      </c>
      <c r="M34" s="208" t="s">
        <v>378</v>
      </c>
      <c r="N34" s="209" t="s">
        <v>462</v>
      </c>
      <c r="O34" s="209" t="s">
        <v>526</v>
      </c>
      <c r="P34" s="210" t="s">
        <v>574</v>
      </c>
      <c r="Q34" s="210" t="s">
        <v>371</v>
      </c>
      <c r="R34" s="211">
        <v>150</v>
      </c>
      <c r="S34" s="212">
        <v>400</v>
      </c>
      <c r="T34" s="212">
        <v>400</v>
      </c>
      <c r="U34" s="212">
        <v>175</v>
      </c>
      <c r="V34" s="212">
        <v>450</v>
      </c>
      <c r="W34" s="213">
        <v>450</v>
      </c>
      <c r="X34" s="167"/>
      <c r="Y34" s="154"/>
      <c r="Z34" s="154"/>
      <c r="AA34" s="208" t="s">
        <v>378</v>
      </c>
      <c r="AB34" s="209" t="s">
        <v>462</v>
      </c>
      <c r="AC34" s="209" t="s">
        <v>526</v>
      </c>
      <c r="AD34" s="210" t="s">
        <v>574</v>
      </c>
      <c r="AE34" s="210" t="s">
        <v>371</v>
      </c>
      <c r="AF34" s="211">
        <v>175</v>
      </c>
      <c r="AG34" s="212">
        <v>450</v>
      </c>
      <c r="AH34" s="212">
        <v>450</v>
      </c>
      <c r="AI34" s="212">
        <v>200</v>
      </c>
      <c r="AJ34" s="212">
        <v>500</v>
      </c>
      <c r="AK34" s="213">
        <v>500</v>
      </c>
      <c r="AL34" s="199"/>
      <c r="AM34" s="199"/>
      <c r="AN34" s="199"/>
      <c r="AO34" s="154"/>
      <c r="AX34"/>
      <c r="BY34" s="108"/>
      <c r="BZ34" s="108"/>
      <c r="CA34" s="108"/>
    </row>
    <row r="35" spans="1:79">
      <c r="A35" s="88" t="s">
        <v>260</v>
      </c>
      <c r="B35" s="89">
        <v>450</v>
      </c>
      <c r="C35" s="89">
        <v>700</v>
      </c>
      <c r="D35" s="89">
        <v>700</v>
      </c>
      <c r="M35" s="208" t="s">
        <v>378</v>
      </c>
      <c r="N35" s="209" t="s">
        <v>462</v>
      </c>
      <c r="O35" s="209" t="s">
        <v>527</v>
      </c>
      <c r="P35" s="210" t="s">
        <v>575</v>
      </c>
      <c r="Q35" s="210" t="s">
        <v>371</v>
      </c>
      <c r="R35" s="211">
        <v>325</v>
      </c>
      <c r="S35" s="212">
        <v>500</v>
      </c>
      <c r="T35" s="212">
        <v>500</v>
      </c>
      <c r="U35" s="212">
        <v>350</v>
      </c>
      <c r="V35" s="212">
        <v>550</v>
      </c>
      <c r="W35" s="213">
        <v>550</v>
      </c>
      <c r="X35" s="167"/>
      <c r="Y35" s="154"/>
      <c r="Z35" s="154"/>
      <c r="AA35" s="208" t="s">
        <v>378</v>
      </c>
      <c r="AB35" s="209" t="s">
        <v>462</v>
      </c>
      <c r="AC35" s="209" t="s">
        <v>527</v>
      </c>
      <c r="AD35" s="210" t="s">
        <v>575</v>
      </c>
      <c r="AE35" s="210" t="s">
        <v>371</v>
      </c>
      <c r="AF35" s="211">
        <v>350</v>
      </c>
      <c r="AG35" s="212">
        <v>550</v>
      </c>
      <c r="AH35" s="212">
        <v>550</v>
      </c>
      <c r="AI35" s="212">
        <v>375</v>
      </c>
      <c r="AJ35" s="212">
        <v>600</v>
      </c>
      <c r="AK35" s="213">
        <v>600</v>
      </c>
      <c r="AL35" s="199"/>
      <c r="AM35" s="199"/>
      <c r="AN35" s="199"/>
      <c r="AO35" s="154"/>
      <c r="AX35"/>
      <c r="BY35" s="108"/>
      <c r="BZ35" s="108"/>
      <c r="CA35" s="108"/>
    </row>
    <row r="36" spans="1:79">
      <c r="A36" s="92" t="s">
        <v>215</v>
      </c>
      <c r="B36" s="93">
        <v>0</v>
      </c>
      <c r="C36" s="93">
        <v>0</v>
      </c>
      <c r="D36" s="93">
        <v>0</v>
      </c>
      <c r="M36" s="208" t="s">
        <v>378</v>
      </c>
      <c r="N36" s="209" t="s">
        <v>463</v>
      </c>
      <c r="O36" s="209" t="s">
        <v>528</v>
      </c>
      <c r="P36" s="210" t="s">
        <v>576</v>
      </c>
      <c r="Q36" s="210" t="s">
        <v>371</v>
      </c>
      <c r="R36" s="211">
        <v>225</v>
      </c>
      <c r="S36" s="212">
        <v>500</v>
      </c>
      <c r="T36" s="212">
        <v>500</v>
      </c>
      <c r="U36" s="212">
        <v>250</v>
      </c>
      <c r="V36" s="212">
        <v>550</v>
      </c>
      <c r="W36" s="213">
        <v>550</v>
      </c>
      <c r="X36" s="167"/>
      <c r="Y36" s="154"/>
      <c r="Z36" s="154"/>
      <c r="AA36" s="208" t="s">
        <v>378</v>
      </c>
      <c r="AB36" s="209" t="s">
        <v>463</v>
      </c>
      <c r="AC36" s="209" t="s">
        <v>528</v>
      </c>
      <c r="AD36" s="210" t="s">
        <v>576</v>
      </c>
      <c r="AE36" s="210" t="s">
        <v>371</v>
      </c>
      <c r="AF36" s="211">
        <v>250</v>
      </c>
      <c r="AG36" s="212">
        <v>550</v>
      </c>
      <c r="AH36" s="212">
        <v>550</v>
      </c>
      <c r="AI36" s="212">
        <v>275</v>
      </c>
      <c r="AJ36" s="212">
        <v>600</v>
      </c>
      <c r="AK36" s="213">
        <v>600</v>
      </c>
      <c r="AL36" s="199"/>
      <c r="AM36" s="199"/>
      <c r="AN36" s="199"/>
      <c r="AO36" s="154"/>
      <c r="AX36"/>
      <c r="BY36" s="108"/>
      <c r="BZ36" s="108"/>
      <c r="CA36" s="108"/>
    </row>
    <row r="37" spans="1:79">
      <c r="A37" s="71" t="s">
        <v>232</v>
      </c>
      <c r="B37" s="72">
        <v>200</v>
      </c>
      <c r="C37" s="72">
        <v>400</v>
      </c>
      <c r="D37" s="72">
        <v>400</v>
      </c>
      <c r="M37" s="208" t="s">
        <v>577</v>
      </c>
      <c r="N37" s="209" t="s">
        <v>463</v>
      </c>
      <c r="O37" s="209" t="s">
        <v>529</v>
      </c>
      <c r="P37" s="210" t="s">
        <v>578</v>
      </c>
      <c r="Q37" s="210" t="s">
        <v>371</v>
      </c>
      <c r="R37" s="211">
        <v>250</v>
      </c>
      <c r="S37" s="212">
        <v>400</v>
      </c>
      <c r="T37" s="212">
        <v>400</v>
      </c>
      <c r="U37" s="212">
        <v>300</v>
      </c>
      <c r="V37" s="212">
        <v>450</v>
      </c>
      <c r="W37" s="213">
        <v>450</v>
      </c>
      <c r="X37" s="167"/>
      <c r="Y37" s="154"/>
      <c r="Z37" s="154"/>
      <c r="AA37" s="208" t="s">
        <v>378</v>
      </c>
      <c r="AB37" s="209" t="s">
        <v>545</v>
      </c>
      <c r="AC37" s="209" t="s">
        <v>529</v>
      </c>
      <c r="AD37" s="210" t="s">
        <v>578</v>
      </c>
      <c r="AE37" s="210" t="s">
        <v>371</v>
      </c>
      <c r="AF37" s="211">
        <v>275</v>
      </c>
      <c r="AG37" s="212">
        <v>450</v>
      </c>
      <c r="AH37" s="212">
        <v>450</v>
      </c>
      <c r="AI37" s="212">
        <v>325</v>
      </c>
      <c r="AJ37" s="212">
        <v>500</v>
      </c>
      <c r="AK37" s="213">
        <v>500</v>
      </c>
      <c r="AL37" s="199"/>
      <c r="AM37" s="199"/>
      <c r="AN37" s="199"/>
      <c r="AO37" s="154"/>
      <c r="AX37"/>
      <c r="BY37" s="108"/>
      <c r="BZ37" s="108"/>
      <c r="CA37" s="108"/>
    </row>
    <row r="38" spans="1:79">
      <c r="A38" s="71" t="s">
        <v>234</v>
      </c>
      <c r="B38" s="191">
        <v>300</v>
      </c>
      <c r="C38" s="191">
        <v>400</v>
      </c>
      <c r="D38" s="191">
        <v>400</v>
      </c>
      <c r="M38" s="208" t="s">
        <v>378</v>
      </c>
      <c r="N38" s="209" t="s">
        <v>463</v>
      </c>
      <c r="O38" s="209" t="s">
        <v>530</v>
      </c>
      <c r="P38" s="210" t="s">
        <v>579</v>
      </c>
      <c r="Q38" s="210" t="s">
        <v>371</v>
      </c>
      <c r="R38" s="211">
        <v>300</v>
      </c>
      <c r="S38" s="212">
        <v>450</v>
      </c>
      <c r="T38" s="212">
        <v>450</v>
      </c>
      <c r="U38" s="212">
        <v>350</v>
      </c>
      <c r="V38" s="212">
        <v>500</v>
      </c>
      <c r="W38" s="213">
        <v>500</v>
      </c>
      <c r="X38" s="167"/>
      <c r="Y38" s="154"/>
      <c r="Z38" s="154"/>
      <c r="AA38" s="208" t="s">
        <v>378</v>
      </c>
      <c r="AB38" s="209" t="s">
        <v>463</v>
      </c>
      <c r="AC38" s="209" t="s">
        <v>530</v>
      </c>
      <c r="AD38" s="210" t="s">
        <v>579</v>
      </c>
      <c r="AE38" s="210" t="s">
        <v>371</v>
      </c>
      <c r="AF38" s="211">
        <v>325</v>
      </c>
      <c r="AG38" s="212">
        <v>500</v>
      </c>
      <c r="AH38" s="212">
        <v>500</v>
      </c>
      <c r="AI38" s="212">
        <v>375</v>
      </c>
      <c r="AJ38" s="212">
        <v>550</v>
      </c>
      <c r="AK38" s="213">
        <v>550</v>
      </c>
      <c r="AL38" s="199"/>
      <c r="AM38" s="199"/>
      <c r="AN38" s="199"/>
      <c r="AO38" s="154"/>
      <c r="AX38"/>
      <c r="BY38" s="108"/>
      <c r="BZ38" s="108"/>
      <c r="CA38" s="108"/>
    </row>
    <row r="39" spans="1:79">
      <c r="A39" s="71" t="s">
        <v>254</v>
      </c>
      <c r="B39" s="191">
        <v>300</v>
      </c>
      <c r="C39" s="191">
        <v>400</v>
      </c>
      <c r="D39" s="191">
        <v>400</v>
      </c>
      <c r="E39" s="1" t="s">
        <v>223</v>
      </c>
      <c r="M39" s="208" t="s">
        <v>378</v>
      </c>
      <c r="N39" s="209" t="s">
        <v>464</v>
      </c>
      <c r="O39" s="209" t="s">
        <v>531</v>
      </c>
      <c r="P39" s="210" t="s">
        <v>580</v>
      </c>
      <c r="Q39" s="210" t="s">
        <v>371</v>
      </c>
      <c r="R39" s="211">
        <v>275</v>
      </c>
      <c r="S39" s="212">
        <v>845</v>
      </c>
      <c r="T39" s="212">
        <v>845</v>
      </c>
      <c r="U39" s="212">
        <v>300</v>
      </c>
      <c r="V39" s="212">
        <v>920</v>
      </c>
      <c r="W39" s="213">
        <v>920</v>
      </c>
      <c r="X39" s="167"/>
      <c r="Y39" s="154"/>
      <c r="Z39" s="154"/>
      <c r="AA39" s="208" t="s">
        <v>378</v>
      </c>
      <c r="AB39" s="209" t="s">
        <v>464</v>
      </c>
      <c r="AC39" s="209" t="s">
        <v>531</v>
      </c>
      <c r="AD39" s="210" t="s">
        <v>580</v>
      </c>
      <c r="AE39" s="210" t="s">
        <v>371</v>
      </c>
      <c r="AF39" s="211">
        <v>300</v>
      </c>
      <c r="AG39" s="212">
        <v>895</v>
      </c>
      <c r="AH39" s="212">
        <v>895</v>
      </c>
      <c r="AI39" s="212">
        <v>325</v>
      </c>
      <c r="AJ39" s="212">
        <v>970</v>
      </c>
      <c r="AK39" s="213">
        <v>970</v>
      </c>
      <c r="AL39" s="199"/>
      <c r="AM39" s="199"/>
      <c r="AN39" s="199"/>
      <c r="AO39" s="154"/>
      <c r="AX39"/>
      <c r="BY39" s="108"/>
      <c r="BZ39" s="3"/>
      <c r="CA39" s="3"/>
    </row>
    <row r="40" spans="1:79">
      <c r="A40" s="90" t="s">
        <v>235</v>
      </c>
      <c r="B40" s="192">
        <v>500</v>
      </c>
      <c r="C40" s="192">
        <v>850</v>
      </c>
      <c r="D40" s="192">
        <v>850</v>
      </c>
      <c r="E40" s="1" t="s">
        <v>224</v>
      </c>
      <c r="M40" s="208" t="s">
        <v>378</v>
      </c>
      <c r="N40" s="209" t="s">
        <v>465</v>
      </c>
      <c r="O40" s="209" t="s">
        <v>532</v>
      </c>
      <c r="P40" s="210" t="s">
        <v>581</v>
      </c>
      <c r="Q40" s="210" t="s">
        <v>371</v>
      </c>
      <c r="R40" s="211">
        <v>425</v>
      </c>
      <c r="S40" s="212">
        <v>900</v>
      </c>
      <c r="T40" s="212">
        <v>900</v>
      </c>
      <c r="U40" s="212">
        <v>450</v>
      </c>
      <c r="V40" s="212">
        <v>950</v>
      </c>
      <c r="W40" s="213">
        <v>950</v>
      </c>
      <c r="X40" s="167"/>
      <c r="Y40" s="154"/>
      <c r="Z40" s="154"/>
      <c r="AA40" s="208" t="s">
        <v>378</v>
      </c>
      <c r="AB40" s="209" t="s">
        <v>465</v>
      </c>
      <c r="AC40" s="209" t="s">
        <v>532</v>
      </c>
      <c r="AD40" s="210" t="s">
        <v>581</v>
      </c>
      <c r="AE40" s="210" t="s">
        <v>371</v>
      </c>
      <c r="AF40" s="211">
        <v>450</v>
      </c>
      <c r="AG40" s="212">
        <v>950</v>
      </c>
      <c r="AH40" s="212">
        <v>950</v>
      </c>
      <c r="AI40" s="212">
        <v>475</v>
      </c>
      <c r="AJ40" s="212">
        <v>1000</v>
      </c>
      <c r="AK40" s="213">
        <v>1000</v>
      </c>
      <c r="AL40" s="199"/>
      <c r="AM40" s="199"/>
      <c r="AN40" s="199"/>
      <c r="AO40" s="154"/>
      <c r="AX40"/>
      <c r="BY40" s="3"/>
      <c r="BZ40" s="3"/>
      <c r="CA40" s="3"/>
    </row>
    <row r="41" spans="1:79">
      <c r="A41" s="90" t="s">
        <v>236</v>
      </c>
      <c r="B41" s="192">
        <v>200</v>
      </c>
      <c r="C41" s="91">
        <v>300</v>
      </c>
      <c r="D41" s="91">
        <v>300</v>
      </c>
      <c r="M41" s="208" t="s">
        <v>378</v>
      </c>
      <c r="N41" s="209" t="s">
        <v>465</v>
      </c>
      <c r="O41" s="209" t="s">
        <v>533</v>
      </c>
      <c r="P41" s="210" t="s">
        <v>582</v>
      </c>
      <c r="Q41" s="210" t="s">
        <v>371</v>
      </c>
      <c r="R41" s="211">
        <v>425</v>
      </c>
      <c r="S41" s="212">
        <v>900</v>
      </c>
      <c r="T41" s="212">
        <v>900</v>
      </c>
      <c r="U41" s="212">
        <v>450</v>
      </c>
      <c r="V41" s="212">
        <v>950</v>
      </c>
      <c r="W41" s="213">
        <v>950</v>
      </c>
      <c r="X41" s="167"/>
      <c r="Y41" s="155"/>
      <c r="Z41" s="155"/>
      <c r="AA41" s="208" t="s">
        <v>378</v>
      </c>
      <c r="AB41" s="209" t="s">
        <v>465</v>
      </c>
      <c r="AC41" s="209" t="s">
        <v>533</v>
      </c>
      <c r="AD41" s="210" t="s">
        <v>582</v>
      </c>
      <c r="AE41" s="210" t="s">
        <v>371</v>
      </c>
      <c r="AF41" s="211">
        <v>450</v>
      </c>
      <c r="AG41" s="212">
        <v>950</v>
      </c>
      <c r="AH41" s="212">
        <v>950</v>
      </c>
      <c r="AI41" s="212">
        <v>475</v>
      </c>
      <c r="AJ41" s="212">
        <v>1000</v>
      </c>
      <c r="AK41" s="213">
        <v>1000</v>
      </c>
      <c r="AL41" s="199"/>
      <c r="AM41" s="199"/>
      <c r="AN41" s="199"/>
      <c r="AO41" s="154"/>
      <c r="AX41"/>
      <c r="BY41" s="3"/>
      <c r="BZ41" s="3"/>
      <c r="CA41" s="3"/>
    </row>
    <row r="42" spans="1:79">
      <c r="A42" s="90" t="s">
        <v>237</v>
      </c>
      <c r="B42" s="192">
        <v>500</v>
      </c>
      <c r="C42" s="192">
        <v>850</v>
      </c>
      <c r="D42" s="192">
        <v>850</v>
      </c>
      <c r="M42" s="214" t="s">
        <v>398</v>
      </c>
      <c r="N42" s="215" t="s">
        <v>465</v>
      </c>
      <c r="O42" s="215" t="s">
        <v>534</v>
      </c>
      <c r="P42" s="216" t="s">
        <v>583</v>
      </c>
      <c r="Q42" s="216" t="s">
        <v>371</v>
      </c>
      <c r="R42" s="222">
        <v>1170</v>
      </c>
      <c r="S42" s="223">
        <v>1850</v>
      </c>
      <c r="T42" s="223">
        <v>1850</v>
      </c>
      <c r="U42" s="223">
        <v>1154.8611111111111</v>
      </c>
      <c r="V42" s="223">
        <v>1900</v>
      </c>
      <c r="W42" s="224">
        <v>1900</v>
      </c>
      <c r="X42" s="167"/>
      <c r="Y42" s="155"/>
      <c r="Z42" s="155"/>
      <c r="AA42" s="214" t="s">
        <v>398</v>
      </c>
      <c r="AB42" s="215" t="s">
        <v>465</v>
      </c>
      <c r="AC42" s="215" t="s">
        <v>534</v>
      </c>
      <c r="AD42" s="216" t="s">
        <v>583</v>
      </c>
      <c r="AE42" s="216" t="s">
        <v>371</v>
      </c>
      <c r="AF42" s="222">
        <v>1170</v>
      </c>
      <c r="AG42" s="223">
        <v>1850</v>
      </c>
      <c r="AH42" s="223">
        <v>1850</v>
      </c>
      <c r="AI42" s="223">
        <v>1154.8611111111111</v>
      </c>
      <c r="AJ42" s="223">
        <v>1900</v>
      </c>
      <c r="AK42" s="224">
        <v>1900</v>
      </c>
      <c r="AL42" s="199"/>
      <c r="AM42" s="199"/>
      <c r="AN42" s="199"/>
      <c r="AO42" s="154"/>
      <c r="AX42"/>
      <c r="BY42" s="3"/>
      <c r="BZ42" s="3"/>
      <c r="CA42" s="3"/>
    </row>
    <row r="43" spans="1:79">
      <c r="A43" s="90" t="s">
        <v>242</v>
      </c>
      <c r="B43" s="91">
        <v>500</v>
      </c>
      <c r="C43" s="91">
        <v>900</v>
      </c>
      <c r="D43" s="91">
        <v>900</v>
      </c>
      <c r="M43" s="214" t="s">
        <v>398</v>
      </c>
      <c r="N43" s="215" t="s">
        <v>380</v>
      </c>
      <c r="O43" s="215" t="s">
        <v>448</v>
      </c>
      <c r="P43" s="216" t="s">
        <v>584</v>
      </c>
      <c r="Q43" s="216" t="s">
        <v>371</v>
      </c>
      <c r="R43" s="222">
        <v>330.55555555555554</v>
      </c>
      <c r="S43" s="223">
        <v>327.77777777777777</v>
      </c>
      <c r="T43" s="223">
        <v>327.77777777777777</v>
      </c>
      <c r="U43" s="223">
        <v>316.66666666666669</v>
      </c>
      <c r="V43" s="223">
        <v>313.88888888888886</v>
      </c>
      <c r="W43" s="224">
        <v>313.88888888888886</v>
      </c>
      <c r="X43" s="167"/>
      <c r="Y43" s="152"/>
      <c r="Z43" s="152"/>
      <c r="AA43" s="214" t="s">
        <v>398</v>
      </c>
      <c r="AB43" s="215" t="s">
        <v>380</v>
      </c>
      <c r="AC43" s="215" t="s">
        <v>448</v>
      </c>
      <c r="AD43" s="216" t="s">
        <v>586</v>
      </c>
      <c r="AE43" s="216" t="s">
        <v>371</v>
      </c>
      <c r="AF43" s="222">
        <v>330.55555555555554</v>
      </c>
      <c r="AG43" s="223">
        <v>327.77777777777777</v>
      </c>
      <c r="AH43" s="223">
        <v>327.77777777777777</v>
      </c>
      <c r="AI43" s="223">
        <v>316.66666666666669</v>
      </c>
      <c r="AJ43" s="223">
        <v>313.88888888888886</v>
      </c>
      <c r="AK43" s="224">
        <v>313.88888888888886</v>
      </c>
      <c r="AL43" s="200"/>
      <c r="AM43" s="200"/>
      <c r="AN43" s="200"/>
      <c r="AO43" s="108"/>
      <c r="AX43"/>
      <c r="BY43" s="3"/>
      <c r="BZ43" s="3"/>
      <c r="CA43" s="3"/>
    </row>
    <row r="44" spans="1:79">
      <c r="A44" s="90" t="s">
        <v>247</v>
      </c>
      <c r="B44" s="91">
        <v>400</v>
      </c>
      <c r="C44" s="91">
        <v>500</v>
      </c>
      <c r="D44" s="91">
        <v>500</v>
      </c>
      <c r="F44" s="169" t="s">
        <v>353</v>
      </c>
      <c r="G44" s="170" t="s">
        <v>352</v>
      </c>
      <c r="H44" s="170">
        <v>600</v>
      </c>
      <c r="I44" s="170">
        <v>1000</v>
      </c>
      <c r="J44" s="169">
        <v>1000</v>
      </c>
      <c r="M44" s="217" t="s">
        <v>398</v>
      </c>
      <c r="N44" s="218" t="s">
        <v>380</v>
      </c>
      <c r="O44" s="218" t="s">
        <v>449</v>
      </c>
      <c r="P44" s="216" t="s">
        <v>585</v>
      </c>
      <c r="Q44" s="219" t="s">
        <v>371</v>
      </c>
      <c r="R44" s="225">
        <v>346.52777777777777</v>
      </c>
      <c r="S44" s="226">
        <v>366.66666666666669</v>
      </c>
      <c r="T44" s="226">
        <v>366.66666666666669</v>
      </c>
      <c r="U44" s="226">
        <v>332.63888888888891</v>
      </c>
      <c r="V44" s="226">
        <v>352.77777777777777</v>
      </c>
      <c r="W44" s="227">
        <v>352.77777777777777</v>
      </c>
      <c r="X44" s="167"/>
      <c r="Y44" s="152"/>
      <c r="Z44" s="152"/>
      <c r="AA44" s="217" t="s">
        <v>398</v>
      </c>
      <c r="AB44" s="218" t="s">
        <v>380</v>
      </c>
      <c r="AC44" s="218" t="s">
        <v>449</v>
      </c>
      <c r="AD44" s="216" t="s">
        <v>586</v>
      </c>
      <c r="AE44" s="219" t="s">
        <v>371</v>
      </c>
      <c r="AF44" s="225">
        <v>346.52777777777777</v>
      </c>
      <c r="AG44" s="226">
        <v>366.66666666666669</v>
      </c>
      <c r="AH44" s="226">
        <v>366.66666666666669</v>
      </c>
      <c r="AI44" s="226">
        <v>332.63888888888891</v>
      </c>
      <c r="AJ44" s="226">
        <v>352.77777777777777</v>
      </c>
      <c r="AK44" s="227">
        <v>352.77777777777777</v>
      </c>
      <c r="AL44" s="200"/>
      <c r="AM44" s="200"/>
      <c r="AN44" s="200"/>
      <c r="AO44" s="108"/>
      <c r="AX44"/>
      <c r="BY44" s="3"/>
      <c r="BZ44" s="3"/>
      <c r="CA44" s="3"/>
    </row>
    <row r="45" spans="1:79">
      <c r="A45" s="90" t="s">
        <v>253</v>
      </c>
      <c r="B45" s="192">
        <v>800</v>
      </c>
      <c r="C45" s="192">
        <v>950</v>
      </c>
      <c r="D45" s="192">
        <v>950</v>
      </c>
      <c r="M45" s="217" t="s">
        <v>398</v>
      </c>
      <c r="N45" s="218" t="s">
        <v>380</v>
      </c>
      <c r="O45" s="218" t="s">
        <v>535</v>
      </c>
      <c r="P45" s="219" t="s">
        <v>568</v>
      </c>
      <c r="Q45" s="219" t="s">
        <v>371</v>
      </c>
      <c r="R45" s="225">
        <v>334.72222222222217</v>
      </c>
      <c r="S45" s="226">
        <v>351.38888888888891</v>
      </c>
      <c r="T45" s="226">
        <v>351.38888888888891</v>
      </c>
      <c r="U45" s="226">
        <v>320.83333333333337</v>
      </c>
      <c r="V45" s="226">
        <v>337.5</v>
      </c>
      <c r="W45" s="227">
        <v>337.5</v>
      </c>
      <c r="X45" s="166"/>
      <c r="Y45" s="154"/>
      <c r="Z45" s="154"/>
      <c r="AA45" s="217" t="s">
        <v>398</v>
      </c>
      <c r="AB45" s="218" t="s">
        <v>380</v>
      </c>
      <c r="AC45" s="218" t="s">
        <v>535</v>
      </c>
      <c r="AD45" s="219" t="s">
        <v>568</v>
      </c>
      <c r="AE45" s="219" t="s">
        <v>371</v>
      </c>
      <c r="AF45" s="225">
        <v>334.72222222222217</v>
      </c>
      <c r="AG45" s="226">
        <v>351.38888888888891</v>
      </c>
      <c r="AH45" s="226">
        <v>351.38888888888891</v>
      </c>
      <c r="AI45" s="226">
        <v>320.83333333333337</v>
      </c>
      <c r="AJ45" s="226">
        <v>337.5</v>
      </c>
      <c r="AK45" s="227">
        <v>337.5</v>
      </c>
      <c r="AL45" s="199"/>
      <c r="AM45" s="199"/>
      <c r="AN45" s="199"/>
      <c r="AO45" s="154"/>
      <c r="AX45"/>
      <c r="BY45" s="3"/>
      <c r="BZ45" s="3"/>
      <c r="CA45" s="3"/>
    </row>
    <row r="46" spans="1:79">
      <c r="A46" s="105" t="s">
        <v>256</v>
      </c>
      <c r="B46" s="106">
        <v>250</v>
      </c>
      <c r="C46" s="106">
        <v>650</v>
      </c>
      <c r="D46" s="106">
        <v>650</v>
      </c>
      <c r="M46" s="217" t="s">
        <v>398</v>
      </c>
      <c r="N46" s="218" t="s">
        <v>380</v>
      </c>
      <c r="O46" s="218" t="s">
        <v>536</v>
      </c>
      <c r="P46" s="216" t="s">
        <v>586</v>
      </c>
      <c r="Q46" s="219" t="s">
        <v>371</v>
      </c>
      <c r="R46" s="225">
        <v>394.44444444444446</v>
      </c>
      <c r="S46" s="226">
        <v>406.94444444444446</v>
      </c>
      <c r="T46" s="226">
        <v>406.94444444444446</v>
      </c>
      <c r="U46" s="226">
        <v>380.55555555555554</v>
      </c>
      <c r="V46" s="226">
        <v>393.05555555555554</v>
      </c>
      <c r="W46" s="227">
        <v>393.05555555555554</v>
      </c>
      <c r="X46" s="166"/>
      <c r="Y46" s="154"/>
      <c r="Z46" s="154"/>
      <c r="AA46" s="217" t="s">
        <v>398</v>
      </c>
      <c r="AB46" s="218" t="s">
        <v>380</v>
      </c>
      <c r="AC46" s="218" t="s">
        <v>536</v>
      </c>
      <c r="AD46" s="216" t="s">
        <v>586</v>
      </c>
      <c r="AE46" s="219" t="s">
        <v>371</v>
      </c>
      <c r="AF46" s="225">
        <v>394.44444444444446</v>
      </c>
      <c r="AG46" s="226">
        <v>406.94444444444446</v>
      </c>
      <c r="AH46" s="226">
        <v>406.94444444444446</v>
      </c>
      <c r="AI46" s="226">
        <v>380.55555555555554</v>
      </c>
      <c r="AJ46" s="226">
        <v>393.05555555555554</v>
      </c>
      <c r="AK46" s="227">
        <v>393.05555555555554</v>
      </c>
      <c r="AL46" s="199"/>
      <c r="AM46" s="199"/>
      <c r="AN46" s="199"/>
      <c r="AO46" s="154"/>
      <c r="AX46"/>
      <c r="BY46" s="3"/>
      <c r="BZ46" s="3"/>
      <c r="CA46" s="3"/>
    </row>
    <row r="47" spans="1:79">
      <c r="A47" s="80" t="s">
        <v>259</v>
      </c>
      <c r="B47" s="81">
        <v>500</v>
      </c>
      <c r="C47" s="81">
        <v>1200</v>
      </c>
      <c r="D47" s="81">
        <v>1200</v>
      </c>
      <c r="M47" s="217" t="s">
        <v>398</v>
      </c>
      <c r="N47" s="218" t="s">
        <v>380</v>
      </c>
      <c r="O47" s="218" t="s">
        <v>537</v>
      </c>
      <c r="P47" s="219" t="s">
        <v>587</v>
      </c>
      <c r="Q47" s="219" t="s">
        <v>371</v>
      </c>
      <c r="R47" s="225">
        <v>286.80555555555554</v>
      </c>
      <c r="S47" s="226">
        <v>309.72222222222223</v>
      </c>
      <c r="T47" s="226">
        <v>309.72222222222223</v>
      </c>
      <c r="U47" s="226">
        <v>279.86111111111109</v>
      </c>
      <c r="V47" s="226">
        <v>302.77777777777777</v>
      </c>
      <c r="W47" s="227">
        <v>302.77777777777777</v>
      </c>
      <c r="X47" s="167"/>
      <c r="Y47" s="154"/>
      <c r="Z47" s="154"/>
      <c r="AA47" s="217" t="s">
        <v>398</v>
      </c>
      <c r="AB47" s="218" t="s">
        <v>380</v>
      </c>
      <c r="AC47" s="218" t="s">
        <v>537</v>
      </c>
      <c r="AD47" s="219" t="s">
        <v>587</v>
      </c>
      <c r="AE47" s="219" t="s">
        <v>371</v>
      </c>
      <c r="AF47" s="225">
        <v>286.80555555555554</v>
      </c>
      <c r="AG47" s="226">
        <v>309.72222222222223</v>
      </c>
      <c r="AH47" s="226">
        <v>309.72222222222223</v>
      </c>
      <c r="AI47" s="226">
        <v>279.86111111111109</v>
      </c>
      <c r="AJ47" s="226">
        <v>302.77777777777777</v>
      </c>
      <c r="AK47" s="227">
        <v>302.77777777777777</v>
      </c>
      <c r="AL47" s="199"/>
      <c r="AM47" s="199"/>
      <c r="AN47" s="199"/>
      <c r="AO47" s="154"/>
      <c r="AX47"/>
      <c r="BY47" s="3"/>
      <c r="BZ47" s="3"/>
      <c r="CA47" s="3"/>
    </row>
    <row r="48" spans="1:79">
      <c r="A48" s="109" t="s">
        <v>261</v>
      </c>
      <c r="B48" s="110">
        <v>300</v>
      </c>
      <c r="C48" s="110">
        <v>350</v>
      </c>
      <c r="D48" s="110">
        <v>350</v>
      </c>
      <c r="M48" s="217" t="s">
        <v>398</v>
      </c>
      <c r="N48" s="215" t="s">
        <v>399</v>
      </c>
      <c r="O48" s="215" t="s">
        <v>446</v>
      </c>
      <c r="P48" s="216" t="s">
        <v>566</v>
      </c>
      <c r="Q48" s="219" t="s">
        <v>371</v>
      </c>
      <c r="R48" s="222">
        <v>385.06944444444446</v>
      </c>
      <c r="S48" s="223">
        <v>381.25</v>
      </c>
      <c r="T48" s="223">
        <v>381.25</v>
      </c>
      <c r="U48" s="223">
        <v>371.18055555555554</v>
      </c>
      <c r="V48" s="223">
        <v>367.36111111111109</v>
      </c>
      <c r="W48" s="224">
        <v>367.36111111111109</v>
      </c>
      <c r="X48" s="167"/>
      <c r="Y48" s="154"/>
      <c r="Z48" s="154"/>
      <c r="AA48" s="217" t="s">
        <v>398</v>
      </c>
      <c r="AB48" s="215" t="s">
        <v>399</v>
      </c>
      <c r="AC48" s="215" t="s">
        <v>446</v>
      </c>
      <c r="AD48" s="216" t="s">
        <v>586</v>
      </c>
      <c r="AE48" s="219" t="s">
        <v>371</v>
      </c>
      <c r="AF48" s="222">
        <v>385.06944444444446</v>
      </c>
      <c r="AG48" s="223">
        <v>381.25</v>
      </c>
      <c r="AH48" s="223">
        <v>381.25</v>
      </c>
      <c r="AI48" s="223">
        <v>371.18055555555554</v>
      </c>
      <c r="AJ48" s="223">
        <v>367.36111111111109</v>
      </c>
      <c r="AK48" s="224">
        <v>367.36111111111109</v>
      </c>
      <c r="AL48" s="199"/>
      <c r="AM48" s="199"/>
      <c r="AN48" s="199"/>
      <c r="AO48" s="154"/>
      <c r="AX48"/>
      <c r="BY48" s="3"/>
      <c r="BZ48" s="3"/>
      <c r="CA48" s="3"/>
    </row>
    <row r="49" spans="1:79">
      <c r="A49" s="78" t="s">
        <v>266</v>
      </c>
      <c r="B49" s="79">
        <v>230</v>
      </c>
      <c r="C49" s="79">
        <v>250</v>
      </c>
      <c r="D49" s="79">
        <v>250</v>
      </c>
      <c r="M49" s="217" t="s">
        <v>398</v>
      </c>
      <c r="N49" s="215" t="s">
        <v>399</v>
      </c>
      <c r="O49" s="218" t="s">
        <v>447</v>
      </c>
      <c r="P49" s="216" t="s">
        <v>586</v>
      </c>
      <c r="Q49" s="219" t="s">
        <v>371</v>
      </c>
      <c r="R49" s="225">
        <v>302.43055555555554</v>
      </c>
      <c r="S49" s="226">
        <v>316.66666666666669</v>
      </c>
      <c r="T49" s="226">
        <v>316.66666666666669</v>
      </c>
      <c r="U49" s="226">
        <v>288.54166666666663</v>
      </c>
      <c r="V49" s="226">
        <v>302.77777777777777</v>
      </c>
      <c r="W49" s="227">
        <v>302.77777777777777</v>
      </c>
      <c r="X49" s="167"/>
      <c r="Y49" s="154"/>
      <c r="Z49" s="154"/>
      <c r="AA49" s="217" t="s">
        <v>398</v>
      </c>
      <c r="AB49" s="215" t="s">
        <v>399</v>
      </c>
      <c r="AC49" s="218" t="s">
        <v>447</v>
      </c>
      <c r="AD49" s="216" t="s">
        <v>586</v>
      </c>
      <c r="AE49" s="219" t="s">
        <v>371</v>
      </c>
      <c r="AF49" s="225">
        <v>302.43055555555554</v>
      </c>
      <c r="AG49" s="226">
        <v>316.66666666666669</v>
      </c>
      <c r="AH49" s="226">
        <v>316.66666666666669</v>
      </c>
      <c r="AI49" s="226">
        <v>288.54166666666663</v>
      </c>
      <c r="AJ49" s="226">
        <v>302.77777777777777</v>
      </c>
      <c r="AK49" s="227">
        <v>302.77777777777777</v>
      </c>
      <c r="AL49" s="199"/>
      <c r="AM49" s="199"/>
      <c r="AN49" s="199"/>
      <c r="AO49" s="154"/>
      <c r="AX49"/>
      <c r="BY49" s="3"/>
      <c r="BZ49" s="3"/>
      <c r="CA49" s="3"/>
    </row>
    <row r="50" spans="1:79" ht="15.75" thickBot="1">
      <c r="A50" s="78" t="s">
        <v>267</v>
      </c>
      <c r="B50" s="79">
        <v>305</v>
      </c>
      <c r="C50" s="79">
        <v>350</v>
      </c>
      <c r="D50" s="79">
        <v>350</v>
      </c>
      <c r="M50" s="217" t="s">
        <v>398</v>
      </c>
      <c r="N50" s="215" t="s">
        <v>399</v>
      </c>
      <c r="O50" s="218" t="s">
        <v>538</v>
      </c>
      <c r="P50" s="216" t="s">
        <v>586</v>
      </c>
      <c r="Q50" s="219" t="s">
        <v>371</v>
      </c>
      <c r="R50" s="225">
        <v>250.74074074074076</v>
      </c>
      <c r="S50" s="226">
        <v>272.77777777777777</v>
      </c>
      <c r="T50" s="226">
        <v>273.2407407407407</v>
      </c>
      <c r="U50" s="226">
        <v>236.85185185185185</v>
      </c>
      <c r="V50" s="226">
        <v>258.88888888888886</v>
      </c>
      <c r="W50" s="227">
        <v>259.35185185185179</v>
      </c>
      <c r="X50" s="167"/>
      <c r="Y50" s="154"/>
      <c r="Z50" s="154"/>
      <c r="AA50" s="217" t="s">
        <v>398</v>
      </c>
      <c r="AB50" s="215" t="s">
        <v>399</v>
      </c>
      <c r="AC50" s="218" t="s">
        <v>538</v>
      </c>
      <c r="AD50" s="216" t="s">
        <v>586</v>
      </c>
      <c r="AE50" s="219" t="s">
        <v>371</v>
      </c>
      <c r="AF50" s="225">
        <v>250.74074074074076</v>
      </c>
      <c r="AG50" s="226">
        <v>272.77777777777777</v>
      </c>
      <c r="AH50" s="226">
        <v>273.2407407407407</v>
      </c>
      <c r="AI50" s="226">
        <v>236.85185185185185</v>
      </c>
      <c r="AJ50" s="226">
        <v>258.88888888888886</v>
      </c>
      <c r="AK50" s="227">
        <v>259.35185185185179</v>
      </c>
      <c r="AL50" s="199"/>
      <c r="AM50" s="199"/>
      <c r="AN50" s="199"/>
      <c r="AO50" s="154"/>
      <c r="AX50"/>
      <c r="BY50" s="3"/>
      <c r="BZ50" s="3"/>
      <c r="CA50" s="3"/>
    </row>
    <row r="51" spans="1:79" ht="15.75" thickBot="1">
      <c r="A51" s="78" t="s">
        <v>268</v>
      </c>
      <c r="B51" s="79">
        <v>255</v>
      </c>
      <c r="C51" s="79">
        <v>250</v>
      </c>
      <c r="D51" s="79">
        <v>250</v>
      </c>
      <c r="M51" s="160"/>
      <c r="N51" s="160"/>
      <c r="O51" s="160"/>
      <c r="P51" s="160"/>
      <c r="Q51" s="160"/>
      <c r="R51" s="161"/>
      <c r="S51" s="161"/>
      <c r="T51" s="161"/>
      <c r="U51" s="162"/>
      <c r="V51" s="162"/>
      <c r="W51" s="162"/>
      <c r="X51" s="167"/>
      <c r="Y51" s="154"/>
      <c r="Z51" s="154"/>
      <c r="AA51" s="160"/>
      <c r="AB51" s="160"/>
      <c r="AC51" s="160"/>
      <c r="AD51" s="160"/>
      <c r="AE51" s="160"/>
      <c r="AF51" s="161"/>
      <c r="AG51" s="161"/>
      <c r="AH51" s="161"/>
      <c r="AI51" s="162"/>
      <c r="AJ51" s="162"/>
      <c r="AK51" s="162"/>
      <c r="AL51" s="199"/>
      <c r="AM51" s="199"/>
      <c r="AN51" s="199"/>
      <c r="AO51" s="154"/>
      <c r="AX51"/>
      <c r="BY51" s="3"/>
      <c r="BZ51" s="3"/>
      <c r="CA51" s="3"/>
    </row>
    <row r="52" spans="1:79">
      <c r="A52" s="71"/>
      <c r="B52" s="72"/>
      <c r="C52" s="72"/>
      <c r="D52" s="72"/>
      <c r="M52" s="243" t="s">
        <v>362</v>
      </c>
      <c r="N52" s="244" t="s">
        <v>363</v>
      </c>
      <c r="O52" s="244" t="s">
        <v>364</v>
      </c>
      <c r="P52" s="246" t="s">
        <v>547</v>
      </c>
      <c r="Q52" s="240" t="s">
        <v>365</v>
      </c>
      <c r="R52" s="241" t="s">
        <v>409</v>
      </c>
      <c r="S52" s="295"/>
      <c r="T52" s="296"/>
      <c r="U52" s="156"/>
      <c r="V52" s="156"/>
      <c r="W52" s="156"/>
      <c r="X52" s="167"/>
      <c r="Y52" s="154"/>
      <c r="Z52" s="154"/>
      <c r="AA52" s="255" t="s">
        <v>362</v>
      </c>
      <c r="AB52" s="246" t="s">
        <v>363</v>
      </c>
      <c r="AC52" s="246" t="s">
        <v>364</v>
      </c>
      <c r="AD52" s="246" t="s">
        <v>547</v>
      </c>
      <c r="AE52" s="329" t="s">
        <v>365</v>
      </c>
      <c r="AF52" s="250" t="s">
        <v>409</v>
      </c>
      <c r="AG52" s="251"/>
      <c r="AH52" s="254"/>
      <c r="AI52" s="156"/>
      <c r="AJ52" s="156"/>
      <c r="AK52" s="156"/>
      <c r="AL52" s="199"/>
      <c r="AM52" s="199"/>
      <c r="AN52" s="199"/>
      <c r="AO52" s="154"/>
      <c r="AX52"/>
      <c r="BY52" s="3"/>
      <c r="BZ52" s="3"/>
      <c r="CA52" s="3"/>
    </row>
    <row r="53" spans="1:79" ht="15.75" thickBot="1">
      <c r="A53" s="73" t="s">
        <v>199</v>
      </c>
      <c r="B53" s="72">
        <v>270</v>
      </c>
      <c r="C53" s="72">
        <v>250</v>
      </c>
      <c r="D53" s="72">
        <v>250</v>
      </c>
      <c r="M53" s="297"/>
      <c r="N53" s="298"/>
      <c r="O53" s="298"/>
      <c r="P53" s="247"/>
      <c r="Q53" s="299"/>
      <c r="R53" s="157" t="s">
        <v>21</v>
      </c>
      <c r="S53" s="158" t="s">
        <v>22</v>
      </c>
      <c r="T53" s="159" t="s">
        <v>23</v>
      </c>
      <c r="U53" s="156"/>
      <c r="V53" s="156"/>
      <c r="W53" s="156"/>
      <c r="X53" s="167"/>
      <c r="Y53" s="154"/>
      <c r="Z53" s="154"/>
      <c r="AA53" s="256"/>
      <c r="AB53" s="247"/>
      <c r="AC53" s="247"/>
      <c r="AD53" s="247"/>
      <c r="AE53" s="330"/>
      <c r="AF53" s="157" t="s">
        <v>21</v>
      </c>
      <c r="AG53" s="158" t="s">
        <v>22</v>
      </c>
      <c r="AH53" s="159" t="s">
        <v>23</v>
      </c>
      <c r="AI53" s="156"/>
      <c r="AJ53" s="156"/>
      <c r="AK53" s="156"/>
      <c r="AL53" s="199"/>
      <c r="AM53" s="199"/>
      <c r="AN53" s="199"/>
      <c r="AO53" s="154"/>
      <c r="AX53"/>
      <c r="BY53" s="3"/>
      <c r="BZ53" s="3"/>
      <c r="CA53" s="3"/>
    </row>
    <row r="54" spans="1:79" ht="15.75" thickTop="1">
      <c r="A54" s="73" t="s">
        <v>200</v>
      </c>
      <c r="B54" s="72">
        <v>500</v>
      </c>
      <c r="C54" s="72">
        <v>500</v>
      </c>
      <c r="D54" s="72">
        <v>500</v>
      </c>
      <c r="M54" s="202" t="s">
        <v>378</v>
      </c>
      <c r="N54" s="203" t="s">
        <v>379</v>
      </c>
      <c r="O54" s="203" t="s">
        <v>387</v>
      </c>
      <c r="P54" s="203" t="s">
        <v>588</v>
      </c>
      <c r="Q54" s="204" t="s">
        <v>372</v>
      </c>
      <c r="R54" s="205">
        <v>100</v>
      </c>
      <c r="S54" s="206">
        <v>300</v>
      </c>
      <c r="T54" s="207">
        <v>300</v>
      </c>
      <c r="U54" s="304"/>
      <c r="V54" s="156"/>
      <c r="W54" s="156"/>
      <c r="X54" s="167"/>
      <c r="Y54" s="154"/>
      <c r="Z54" s="154"/>
      <c r="AA54" s="202" t="s">
        <v>378</v>
      </c>
      <c r="AB54" s="203" t="s">
        <v>379</v>
      </c>
      <c r="AC54" s="203" t="s">
        <v>387</v>
      </c>
      <c r="AD54" s="203" t="s">
        <v>588</v>
      </c>
      <c r="AE54" s="204" t="s">
        <v>372</v>
      </c>
      <c r="AF54" s="205">
        <v>125</v>
      </c>
      <c r="AG54" s="206">
        <v>295</v>
      </c>
      <c r="AH54" s="207">
        <v>295</v>
      </c>
      <c r="AI54" s="304"/>
      <c r="AJ54" s="156"/>
      <c r="AK54" s="156"/>
      <c r="AL54" s="199"/>
      <c r="AM54" s="199"/>
      <c r="AN54" s="199"/>
      <c r="AO54" s="154"/>
      <c r="AX54"/>
      <c r="BY54" s="3"/>
      <c r="BZ54" s="3"/>
      <c r="CA54" s="3"/>
    </row>
    <row r="55" spans="1:79">
      <c r="A55" s="73" t="s">
        <v>201</v>
      </c>
      <c r="B55" s="72">
        <v>550</v>
      </c>
      <c r="C55" s="72">
        <v>550</v>
      </c>
      <c r="D55" s="72">
        <v>550</v>
      </c>
      <c r="M55" s="208" t="s">
        <v>378</v>
      </c>
      <c r="N55" s="209" t="s">
        <v>379</v>
      </c>
      <c r="O55" s="209" t="s">
        <v>386</v>
      </c>
      <c r="P55" s="209" t="s">
        <v>589</v>
      </c>
      <c r="Q55" s="210" t="s">
        <v>372</v>
      </c>
      <c r="R55" s="211">
        <v>120</v>
      </c>
      <c r="S55" s="212">
        <v>180</v>
      </c>
      <c r="T55" s="213">
        <v>180</v>
      </c>
      <c r="U55" s="304"/>
      <c r="V55" s="156"/>
      <c r="W55" s="156"/>
      <c r="X55" s="167"/>
      <c r="Y55" s="154"/>
      <c r="Z55" s="154"/>
      <c r="AA55" s="208" t="s">
        <v>378</v>
      </c>
      <c r="AB55" s="209" t="s">
        <v>379</v>
      </c>
      <c r="AC55" s="209" t="s">
        <v>386</v>
      </c>
      <c r="AD55" s="209" t="s">
        <v>589</v>
      </c>
      <c r="AE55" s="210" t="s">
        <v>372</v>
      </c>
      <c r="AF55" s="211">
        <v>145</v>
      </c>
      <c r="AG55" s="212">
        <v>230</v>
      </c>
      <c r="AH55" s="213">
        <v>230</v>
      </c>
      <c r="AI55" s="304"/>
      <c r="AJ55" s="156"/>
      <c r="AK55" s="156"/>
      <c r="AL55" s="199"/>
      <c r="AM55" s="199"/>
      <c r="AN55" s="199"/>
      <c r="AO55" s="154"/>
      <c r="AX55"/>
      <c r="BY55" s="3"/>
      <c r="BZ55" s="3"/>
      <c r="CA55" s="3"/>
    </row>
    <row r="56" spans="1:79">
      <c r="A56" s="73" t="s">
        <v>203</v>
      </c>
      <c r="B56" s="72">
        <v>350</v>
      </c>
      <c r="C56" s="72">
        <v>300</v>
      </c>
      <c r="D56" s="72">
        <v>300</v>
      </c>
      <c r="M56" s="208" t="s">
        <v>378</v>
      </c>
      <c r="N56" s="209" t="s">
        <v>368</v>
      </c>
      <c r="O56" s="209" t="s">
        <v>369</v>
      </c>
      <c r="P56" s="209" t="s">
        <v>548</v>
      </c>
      <c r="Q56" s="210" t="s">
        <v>372</v>
      </c>
      <c r="R56" s="211">
        <v>125</v>
      </c>
      <c r="S56" s="212">
        <v>325</v>
      </c>
      <c r="T56" s="213">
        <v>325</v>
      </c>
      <c r="U56" s="220"/>
      <c r="V56" s="156"/>
      <c r="W56" s="156"/>
      <c r="X56" s="167"/>
      <c r="Y56" s="154"/>
      <c r="Z56" s="154"/>
      <c r="AA56" s="208" t="s">
        <v>378</v>
      </c>
      <c r="AB56" s="209" t="s">
        <v>368</v>
      </c>
      <c r="AC56" s="209" t="s">
        <v>369</v>
      </c>
      <c r="AD56" s="209" t="s">
        <v>548</v>
      </c>
      <c r="AE56" s="210" t="s">
        <v>372</v>
      </c>
      <c r="AF56" s="211">
        <v>150</v>
      </c>
      <c r="AG56" s="212">
        <v>375</v>
      </c>
      <c r="AH56" s="213">
        <v>375</v>
      </c>
      <c r="AI56" s="220"/>
      <c r="AJ56" s="156"/>
      <c r="AK56" s="156"/>
      <c r="AL56" s="199"/>
      <c r="AM56" s="199"/>
      <c r="AN56" s="199"/>
      <c r="AO56" s="154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Y56" s="3"/>
      <c r="BZ56" s="3"/>
      <c r="CA56" s="3"/>
    </row>
    <row r="57" spans="1:79">
      <c r="A57" s="73" t="s">
        <v>205</v>
      </c>
      <c r="B57" s="72">
        <v>100</v>
      </c>
      <c r="C57" s="72">
        <v>100</v>
      </c>
      <c r="D57" s="72">
        <v>100</v>
      </c>
      <c r="M57" s="208" t="s">
        <v>378</v>
      </c>
      <c r="N57" s="209" t="s">
        <v>368</v>
      </c>
      <c r="O57" s="212" t="s">
        <v>508</v>
      </c>
      <c r="P57" s="212" t="s">
        <v>552</v>
      </c>
      <c r="Q57" s="210" t="s">
        <v>372</v>
      </c>
      <c r="R57" s="211">
        <v>100</v>
      </c>
      <c r="S57" s="212">
        <v>100</v>
      </c>
      <c r="T57" s="213">
        <v>125</v>
      </c>
      <c r="U57" s="220"/>
      <c r="V57" s="156"/>
      <c r="W57" s="156"/>
      <c r="X57" s="167"/>
      <c r="Y57" s="154"/>
      <c r="Z57" s="154"/>
      <c r="AA57" s="208" t="s">
        <v>378</v>
      </c>
      <c r="AB57" s="209" t="s">
        <v>368</v>
      </c>
      <c r="AC57" s="212" t="s">
        <v>508</v>
      </c>
      <c r="AD57" s="212" t="s">
        <v>552</v>
      </c>
      <c r="AE57" s="210" t="s">
        <v>372</v>
      </c>
      <c r="AF57" s="211">
        <v>125</v>
      </c>
      <c r="AG57" s="212">
        <v>150</v>
      </c>
      <c r="AH57" s="213">
        <v>175</v>
      </c>
      <c r="AI57" s="220"/>
      <c r="AJ57" s="156"/>
      <c r="AK57" s="156"/>
      <c r="AL57" s="199"/>
      <c r="AM57" s="199"/>
      <c r="AN57" s="199"/>
      <c r="AO57" s="154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Y57" s="3"/>
      <c r="BZ57" s="3"/>
      <c r="CA57" s="3"/>
    </row>
    <row r="58" spans="1:79">
      <c r="A58" s="73" t="s">
        <v>239</v>
      </c>
      <c r="B58" s="72">
        <v>550</v>
      </c>
      <c r="C58" s="74">
        <v>650</v>
      </c>
      <c r="D58" s="74">
        <v>650</v>
      </c>
      <c r="F58" s="140" t="s">
        <v>356</v>
      </c>
      <c r="G58" s="138"/>
      <c r="H58" s="138"/>
      <c r="I58" s="138"/>
      <c r="J58" s="138"/>
      <c r="K58" s="138"/>
      <c r="M58" s="208" t="s">
        <v>378</v>
      </c>
      <c r="N58" s="209" t="s">
        <v>368</v>
      </c>
      <c r="O58" s="212" t="s">
        <v>509</v>
      </c>
      <c r="P58" s="212" t="s">
        <v>553</v>
      </c>
      <c r="Q58" s="210" t="s">
        <v>372</v>
      </c>
      <c r="R58" s="211">
        <v>225</v>
      </c>
      <c r="S58" s="212">
        <v>350</v>
      </c>
      <c r="T58" s="213">
        <v>350</v>
      </c>
      <c r="U58" s="156"/>
      <c r="V58" s="156"/>
      <c r="W58" s="156"/>
      <c r="X58" s="167"/>
      <c r="Y58" s="154"/>
      <c r="Z58" s="154"/>
      <c r="AA58" s="208" t="s">
        <v>378</v>
      </c>
      <c r="AB58" s="209" t="s">
        <v>368</v>
      </c>
      <c r="AC58" s="212" t="s">
        <v>509</v>
      </c>
      <c r="AD58" s="212" t="s">
        <v>553</v>
      </c>
      <c r="AE58" s="210" t="s">
        <v>372</v>
      </c>
      <c r="AF58" s="211">
        <v>250</v>
      </c>
      <c r="AG58" s="212">
        <v>400</v>
      </c>
      <c r="AH58" s="213">
        <v>400</v>
      </c>
      <c r="AI58" s="156"/>
      <c r="AJ58" s="156"/>
      <c r="AK58" s="156"/>
      <c r="AL58" s="199"/>
      <c r="AM58" s="199"/>
      <c r="AN58" s="199"/>
      <c r="AO58" s="154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117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</row>
    <row r="59" spans="1:79">
      <c r="A59" s="73" t="s">
        <v>207</v>
      </c>
      <c r="B59" s="72">
        <v>500</v>
      </c>
      <c r="C59" s="72">
        <v>500</v>
      </c>
      <c r="D59" s="72">
        <v>500</v>
      </c>
      <c r="E59" s="137"/>
      <c r="M59" s="208" t="s">
        <v>378</v>
      </c>
      <c r="N59" s="209" t="s">
        <v>368</v>
      </c>
      <c r="O59" s="212" t="s">
        <v>510</v>
      </c>
      <c r="P59" s="212" t="s">
        <v>554</v>
      </c>
      <c r="Q59" s="210" t="s">
        <v>372</v>
      </c>
      <c r="R59" s="211">
        <v>250</v>
      </c>
      <c r="S59" s="212">
        <v>325</v>
      </c>
      <c r="T59" s="213">
        <v>325</v>
      </c>
      <c r="U59" s="220"/>
      <c r="V59" s="156"/>
      <c r="W59" s="156"/>
      <c r="X59" s="167"/>
      <c r="Y59" s="154"/>
      <c r="Z59" s="154"/>
      <c r="AA59" s="208" t="s">
        <v>378</v>
      </c>
      <c r="AB59" s="209" t="s">
        <v>368</v>
      </c>
      <c r="AC59" s="212" t="s">
        <v>510</v>
      </c>
      <c r="AD59" s="212" t="s">
        <v>554</v>
      </c>
      <c r="AE59" s="210" t="s">
        <v>372</v>
      </c>
      <c r="AF59" s="211">
        <v>275</v>
      </c>
      <c r="AG59" s="212">
        <v>350</v>
      </c>
      <c r="AH59" s="213">
        <v>350</v>
      </c>
      <c r="AI59" s="220"/>
      <c r="AJ59" s="156"/>
      <c r="AK59" s="156"/>
      <c r="AL59" s="199"/>
      <c r="AM59" s="199"/>
      <c r="AN59" s="199"/>
      <c r="AO59" s="154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117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</row>
    <row r="60" spans="1:79">
      <c r="A60" s="139" t="s">
        <v>221</v>
      </c>
      <c r="B60" s="76">
        <v>500</v>
      </c>
      <c r="C60" s="76">
        <v>700</v>
      </c>
      <c r="D60" s="76">
        <v>700</v>
      </c>
      <c r="M60" s="208" t="s">
        <v>378</v>
      </c>
      <c r="N60" s="209" t="s">
        <v>368</v>
      </c>
      <c r="O60" s="212" t="s">
        <v>514</v>
      </c>
      <c r="P60" s="212" t="s">
        <v>558</v>
      </c>
      <c r="Q60" s="210" t="s">
        <v>372</v>
      </c>
      <c r="R60" s="211">
        <v>200</v>
      </c>
      <c r="S60" s="300">
        <v>325</v>
      </c>
      <c r="T60" s="301">
        <v>325</v>
      </c>
      <c r="U60" s="220"/>
      <c r="V60" s="156"/>
      <c r="W60" s="156"/>
      <c r="X60" s="167"/>
      <c r="Y60" s="154"/>
      <c r="Z60" s="154"/>
      <c r="AA60" s="208" t="s">
        <v>378</v>
      </c>
      <c r="AB60" s="209" t="s">
        <v>368</v>
      </c>
      <c r="AC60" s="212" t="s">
        <v>514</v>
      </c>
      <c r="AD60" s="212" t="s">
        <v>558</v>
      </c>
      <c r="AE60" s="210" t="s">
        <v>372</v>
      </c>
      <c r="AF60" s="211">
        <v>225</v>
      </c>
      <c r="AG60" s="212">
        <v>400</v>
      </c>
      <c r="AH60" s="213">
        <v>400</v>
      </c>
      <c r="AI60" s="220"/>
      <c r="AJ60" s="156"/>
      <c r="AK60" s="156"/>
      <c r="AL60" s="199"/>
      <c r="AM60" s="199"/>
      <c r="AN60" s="199"/>
      <c r="AO60" s="154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117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</row>
    <row r="61" spans="1:79">
      <c r="A61" s="73" t="s">
        <v>222</v>
      </c>
      <c r="B61" s="69">
        <v>1910</v>
      </c>
      <c r="C61" s="69">
        <v>1910</v>
      </c>
      <c r="D61" s="69">
        <v>1910</v>
      </c>
      <c r="M61" s="208" t="s">
        <v>378</v>
      </c>
      <c r="N61" s="209" t="s">
        <v>368</v>
      </c>
      <c r="O61" s="212" t="s">
        <v>515</v>
      </c>
      <c r="P61" s="212" t="s">
        <v>559</v>
      </c>
      <c r="Q61" s="210" t="s">
        <v>372</v>
      </c>
      <c r="R61" s="211">
        <v>250</v>
      </c>
      <c r="S61" s="212">
        <v>400</v>
      </c>
      <c r="T61" s="213">
        <v>400</v>
      </c>
      <c r="U61" s="220"/>
      <c r="V61" s="156"/>
      <c r="W61" s="156"/>
      <c r="X61" s="167"/>
      <c r="Y61" s="154"/>
      <c r="Z61" s="154"/>
      <c r="AA61" s="208" t="s">
        <v>378</v>
      </c>
      <c r="AB61" s="209" t="s">
        <v>368</v>
      </c>
      <c r="AC61" s="212" t="s">
        <v>515</v>
      </c>
      <c r="AD61" s="212" t="s">
        <v>559</v>
      </c>
      <c r="AE61" s="210" t="s">
        <v>372</v>
      </c>
      <c r="AF61" s="211">
        <v>275</v>
      </c>
      <c r="AG61" s="212">
        <v>450</v>
      </c>
      <c r="AH61" s="213">
        <v>450</v>
      </c>
      <c r="AI61" s="220"/>
      <c r="AJ61" s="156"/>
      <c r="AK61" s="156"/>
      <c r="AL61" s="199"/>
      <c r="AM61" s="199"/>
      <c r="AN61" s="199"/>
      <c r="AO61" s="154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117"/>
      <c r="BQ61" s="3"/>
      <c r="BR61" s="3"/>
      <c r="BS61" s="3"/>
      <c r="BT61" s="3"/>
      <c r="BU61" s="3"/>
      <c r="BV61" s="3"/>
      <c r="BW61" s="3"/>
      <c r="BX61" s="3"/>
      <c r="BY61" s="3"/>
    </row>
    <row r="62" spans="1:79">
      <c r="A62" s="73" t="s">
        <v>222</v>
      </c>
      <c r="B62" s="69">
        <v>2395</v>
      </c>
      <c r="C62" s="69">
        <v>2395</v>
      </c>
      <c r="D62" s="69">
        <v>2395</v>
      </c>
      <c r="M62" s="208" t="s">
        <v>378</v>
      </c>
      <c r="N62" s="209" t="s">
        <v>368</v>
      </c>
      <c r="O62" s="212" t="s">
        <v>517</v>
      </c>
      <c r="P62" s="212" t="s">
        <v>561</v>
      </c>
      <c r="Q62" s="210" t="s">
        <v>372</v>
      </c>
      <c r="R62" s="211">
        <v>150</v>
      </c>
      <c r="S62" s="212">
        <v>200</v>
      </c>
      <c r="T62" s="213">
        <v>200</v>
      </c>
      <c r="U62" s="156"/>
      <c r="V62" s="156"/>
      <c r="W62" s="156"/>
      <c r="X62" s="167"/>
      <c r="Y62" s="154"/>
      <c r="Z62" s="154"/>
      <c r="AA62" s="208" t="s">
        <v>378</v>
      </c>
      <c r="AB62" s="209" t="s">
        <v>368</v>
      </c>
      <c r="AC62" s="212" t="s">
        <v>517</v>
      </c>
      <c r="AD62" s="212" t="s">
        <v>561</v>
      </c>
      <c r="AE62" s="210" t="s">
        <v>372</v>
      </c>
      <c r="AF62" s="211">
        <v>175</v>
      </c>
      <c r="AG62" s="212">
        <v>250</v>
      </c>
      <c r="AH62" s="213">
        <v>250</v>
      </c>
      <c r="AI62" s="156"/>
      <c r="AJ62" s="156"/>
      <c r="AK62" s="156"/>
      <c r="AL62" s="199"/>
      <c r="AM62" s="199"/>
      <c r="AN62" s="199"/>
      <c r="AO62" s="154"/>
      <c r="AQ62" s="3"/>
      <c r="AR62" s="3"/>
      <c r="AS62" s="3"/>
      <c r="AT62" s="3"/>
      <c r="AU62" s="3"/>
      <c r="AV62" s="3"/>
      <c r="AW62" s="3"/>
      <c r="AX62" s="3"/>
      <c r="AY62" s="3"/>
      <c r="AZ62" s="3"/>
      <c r="BC62" s="3"/>
      <c r="BD62" s="3"/>
      <c r="BE62" s="3"/>
      <c r="BF62" s="3"/>
      <c r="BG62" s="3"/>
      <c r="BH62" s="3"/>
      <c r="BI62" s="3"/>
      <c r="BP62" s="116"/>
      <c r="BQ62" s="3"/>
      <c r="BR62" s="3"/>
    </row>
    <row r="63" spans="1:79">
      <c r="A63" s="68" t="s">
        <v>225</v>
      </c>
      <c r="B63" s="69">
        <v>800</v>
      </c>
      <c r="C63" s="69">
        <v>925</v>
      </c>
      <c r="D63" s="69">
        <v>925</v>
      </c>
      <c r="M63" s="214" t="s">
        <v>385</v>
      </c>
      <c r="N63" s="215" t="s">
        <v>384</v>
      </c>
      <c r="O63" s="215" t="s">
        <v>384</v>
      </c>
      <c r="P63" s="215" t="s">
        <v>580</v>
      </c>
      <c r="Q63" s="216" t="s">
        <v>372</v>
      </c>
      <c r="R63" s="222">
        <v>830.55555555555554</v>
      </c>
      <c r="S63" s="223">
        <v>1035</v>
      </c>
      <c r="T63" s="224">
        <v>964.58333333333326</v>
      </c>
      <c r="U63" s="220"/>
      <c r="V63" s="156"/>
      <c r="W63" s="156"/>
      <c r="X63" s="167"/>
      <c r="Y63" s="154"/>
      <c r="Z63" s="154"/>
      <c r="AA63" s="214" t="s">
        <v>385</v>
      </c>
      <c r="AB63" s="215" t="s">
        <v>384</v>
      </c>
      <c r="AC63" s="215" t="s">
        <v>384</v>
      </c>
      <c r="AD63" s="215" t="s">
        <v>580</v>
      </c>
      <c r="AE63" s="216" t="s">
        <v>372</v>
      </c>
      <c r="AF63" s="222">
        <v>830.55555555555554</v>
      </c>
      <c r="AG63" s="223">
        <v>1035</v>
      </c>
      <c r="AH63" s="224">
        <v>964.58333333333326</v>
      </c>
      <c r="AI63" s="220"/>
      <c r="AJ63" s="156"/>
      <c r="AK63" s="156"/>
      <c r="AL63" s="199"/>
      <c r="AM63" s="199"/>
      <c r="AN63" s="199"/>
      <c r="AO63" s="154"/>
    </row>
    <row r="64" spans="1:79">
      <c r="A64" s="68" t="s">
        <v>226</v>
      </c>
      <c r="B64" s="69">
        <v>600</v>
      </c>
      <c r="C64" s="69">
        <v>600</v>
      </c>
      <c r="D64" s="69">
        <v>600</v>
      </c>
      <c r="M64" s="214" t="s">
        <v>385</v>
      </c>
      <c r="N64" s="215" t="s">
        <v>384</v>
      </c>
      <c r="O64" s="215" t="s">
        <v>384</v>
      </c>
      <c r="P64" s="215" t="s">
        <v>580</v>
      </c>
      <c r="Q64" s="216" t="s">
        <v>466</v>
      </c>
      <c r="R64" s="222">
        <v>872.22222222222217</v>
      </c>
      <c r="S64" s="223">
        <v>1076</v>
      </c>
      <c r="T64" s="224">
        <v>1006.25</v>
      </c>
      <c r="U64" s="220"/>
      <c r="V64" s="156"/>
      <c r="W64" s="156"/>
      <c r="X64" s="167"/>
      <c r="Y64" s="154"/>
      <c r="Z64" s="154"/>
      <c r="AA64" s="214" t="s">
        <v>385</v>
      </c>
      <c r="AB64" s="215" t="s">
        <v>384</v>
      </c>
      <c r="AC64" s="215" t="s">
        <v>384</v>
      </c>
      <c r="AD64" s="215" t="s">
        <v>580</v>
      </c>
      <c r="AE64" s="216" t="s">
        <v>466</v>
      </c>
      <c r="AF64" s="222">
        <v>872.22222222222217</v>
      </c>
      <c r="AG64" s="223">
        <v>1076</v>
      </c>
      <c r="AH64" s="224">
        <v>1006.25</v>
      </c>
      <c r="AI64" s="220"/>
      <c r="AJ64" s="156"/>
      <c r="AK64" s="156"/>
      <c r="AL64" s="199"/>
      <c r="AM64" s="199"/>
      <c r="AN64" s="199"/>
      <c r="AO64" s="154"/>
    </row>
    <row r="65" spans="1:41">
      <c r="A65" s="68" t="s">
        <v>238</v>
      </c>
      <c r="B65" s="69">
        <v>500</v>
      </c>
      <c r="C65" s="69">
        <v>1000</v>
      </c>
      <c r="D65" s="69">
        <v>1000</v>
      </c>
      <c r="M65" s="305" t="s">
        <v>385</v>
      </c>
      <c r="N65" s="215" t="s">
        <v>384</v>
      </c>
      <c r="O65" s="215" t="s">
        <v>384</v>
      </c>
      <c r="P65" s="215" t="s">
        <v>580</v>
      </c>
      <c r="Q65" s="216" t="s">
        <v>590</v>
      </c>
      <c r="R65" s="222">
        <v>809</v>
      </c>
      <c r="S65" s="223">
        <v>809</v>
      </c>
      <c r="T65" s="224">
        <v>809</v>
      </c>
      <c r="U65" s="220"/>
      <c r="V65" s="156"/>
      <c r="W65" s="156"/>
      <c r="X65" s="167"/>
      <c r="Y65" s="152"/>
      <c r="Z65" s="152"/>
      <c r="AA65" s="305" t="s">
        <v>385</v>
      </c>
      <c r="AB65" s="215" t="s">
        <v>384</v>
      </c>
      <c r="AC65" s="215" t="s">
        <v>384</v>
      </c>
      <c r="AD65" s="215" t="s">
        <v>580</v>
      </c>
      <c r="AE65" s="216" t="s">
        <v>590</v>
      </c>
      <c r="AF65" s="222">
        <v>809</v>
      </c>
      <c r="AG65" s="223">
        <v>809</v>
      </c>
      <c r="AH65" s="224">
        <v>809</v>
      </c>
      <c r="AI65" s="220"/>
      <c r="AJ65" s="156"/>
      <c r="AK65" s="156"/>
      <c r="AL65" s="200"/>
      <c r="AM65" s="200"/>
      <c r="AN65" s="200"/>
      <c r="AO65" s="108"/>
    </row>
    <row r="66" spans="1:41">
      <c r="A66" s="68"/>
      <c r="B66" s="69"/>
      <c r="C66" s="69"/>
      <c r="D66" s="69"/>
      <c r="M66" s="305" t="s">
        <v>385</v>
      </c>
      <c r="N66" s="215" t="s">
        <v>384</v>
      </c>
      <c r="O66" s="215" t="s">
        <v>384</v>
      </c>
      <c r="P66" s="215" t="s">
        <v>580</v>
      </c>
      <c r="Q66" s="216" t="s">
        <v>591</v>
      </c>
      <c r="R66" s="222">
        <v>554</v>
      </c>
      <c r="S66" s="223">
        <v>704</v>
      </c>
      <c r="T66" s="224">
        <v>704</v>
      </c>
      <c r="U66" s="156" t="s">
        <v>592</v>
      </c>
      <c r="V66" s="156"/>
      <c r="W66" s="156"/>
      <c r="X66" s="167"/>
      <c r="Y66" s="152"/>
      <c r="Z66" s="152"/>
      <c r="AA66" s="305" t="s">
        <v>385</v>
      </c>
      <c r="AB66" s="215" t="s">
        <v>384</v>
      </c>
      <c r="AC66" s="215" t="s">
        <v>384</v>
      </c>
      <c r="AD66" s="215" t="s">
        <v>580</v>
      </c>
      <c r="AE66" s="216" t="s">
        <v>591</v>
      </c>
      <c r="AF66" s="222">
        <v>554</v>
      </c>
      <c r="AG66" s="223">
        <v>704</v>
      </c>
      <c r="AH66" s="224">
        <v>704</v>
      </c>
      <c r="AI66" s="156" t="s">
        <v>592</v>
      </c>
      <c r="AJ66" s="156"/>
      <c r="AK66" s="156"/>
      <c r="AL66" s="200"/>
      <c r="AM66" s="200"/>
      <c r="AN66" s="200"/>
      <c r="AO66" s="108"/>
    </row>
    <row r="67" spans="1:41" ht="15" customHeight="1">
      <c r="A67" s="68"/>
      <c r="B67" s="69"/>
      <c r="C67" s="69"/>
      <c r="D67" s="69"/>
      <c r="M67" s="305" t="s">
        <v>385</v>
      </c>
      <c r="N67" s="215" t="s">
        <v>384</v>
      </c>
      <c r="O67" s="215" t="s">
        <v>384</v>
      </c>
      <c r="P67" s="215" t="s">
        <v>580</v>
      </c>
      <c r="Q67" s="216" t="s">
        <v>591</v>
      </c>
      <c r="R67" s="222">
        <v>755</v>
      </c>
      <c r="S67" s="223">
        <v>926</v>
      </c>
      <c r="T67" s="224">
        <v>926</v>
      </c>
      <c r="U67" s="156" t="s">
        <v>593</v>
      </c>
      <c r="V67" s="156"/>
      <c r="W67" s="156"/>
      <c r="X67" s="167"/>
      <c r="Y67" s="154"/>
      <c r="Z67" s="154"/>
      <c r="AA67" s="305" t="s">
        <v>385</v>
      </c>
      <c r="AB67" s="215" t="s">
        <v>384</v>
      </c>
      <c r="AC67" s="215" t="s">
        <v>384</v>
      </c>
      <c r="AD67" s="215" t="s">
        <v>580</v>
      </c>
      <c r="AE67" s="216" t="s">
        <v>591</v>
      </c>
      <c r="AF67" s="222">
        <v>755</v>
      </c>
      <c r="AG67" s="223">
        <v>926</v>
      </c>
      <c r="AH67" s="224">
        <v>926</v>
      </c>
      <c r="AI67" s="156" t="s">
        <v>593</v>
      </c>
      <c r="AJ67" s="156"/>
      <c r="AK67" s="156"/>
      <c r="AL67" s="199"/>
      <c r="AM67" s="199"/>
      <c r="AN67" s="199"/>
      <c r="AO67" s="154"/>
    </row>
    <row r="68" spans="1:41">
      <c r="A68" s="68"/>
      <c r="B68" s="69"/>
      <c r="C68" s="69"/>
      <c r="D68" s="69"/>
      <c r="M68" s="305" t="s">
        <v>385</v>
      </c>
      <c r="N68" s="215" t="s">
        <v>384</v>
      </c>
      <c r="O68" s="215" t="s">
        <v>384</v>
      </c>
      <c r="P68" s="215" t="s">
        <v>580</v>
      </c>
      <c r="Q68" s="216" t="s">
        <v>591</v>
      </c>
      <c r="R68" s="222">
        <v>644</v>
      </c>
      <c r="S68" s="223">
        <v>843</v>
      </c>
      <c r="T68" s="224">
        <v>843</v>
      </c>
      <c r="U68" s="156" t="s">
        <v>594</v>
      </c>
      <c r="V68" s="156"/>
      <c r="W68" s="156"/>
      <c r="X68" s="167"/>
      <c r="Y68" s="154"/>
      <c r="Z68" s="154"/>
      <c r="AA68" s="305" t="s">
        <v>385</v>
      </c>
      <c r="AB68" s="215" t="s">
        <v>384</v>
      </c>
      <c r="AC68" s="215" t="s">
        <v>384</v>
      </c>
      <c r="AD68" s="215" t="s">
        <v>580</v>
      </c>
      <c r="AE68" s="216" t="s">
        <v>591</v>
      </c>
      <c r="AF68" s="222">
        <v>644</v>
      </c>
      <c r="AG68" s="223">
        <v>843</v>
      </c>
      <c r="AH68" s="224">
        <v>843</v>
      </c>
      <c r="AI68" s="156" t="s">
        <v>594</v>
      </c>
      <c r="AJ68" s="156"/>
      <c r="AK68" s="156"/>
      <c r="AL68" s="199"/>
      <c r="AM68" s="199"/>
      <c r="AN68" s="199"/>
      <c r="AO68" s="154"/>
    </row>
    <row r="69" spans="1:41" ht="76.5">
      <c r="A69" s="68"/>
      <c r="B69" s="69"/>
      <c r="C69" s="69"/>
      <c r="D69" s="69"/>
      <c r="M69" s="306" t="s">
        <v>595</v>
      </c>
      <c r="N69" s="215" t="s">
        <v>384</v>
      </c>
      <c r="O69" s="215" t="s">
        <v>384</v>
      </c>
      <c r="P69" s="215" t="s">
        <v>580</v>
      </c>
      <c r="Q69" s="307" t="s">
        <v>596</v>
      </c>
      <c r="R69" s="222">
        <v>591</v>
      </c>
      <c r="S69" s="223">
        <v>704</v>
      </c>
      <c r="T69" s="224">
        <v>704</v>
      </c>
      <c r="U69" s="156" t="s">
        <v>592</v>
      </c>
      <c r="V69" s="156"/>
      <c r="W69" s="156"/>
      <c r="X69" s="167"/>
      <c r="Y69" s="154"/>
      <c r="Z69" s="154"/>
      <c r="AA69" s="306" t="s">
        <v>595</v>
      </c>
      <c r="AB69" s="215" t="s">
        <v>384</v>
      </c>
      <c r="AC69" s="215" t="s">
        <v>384</v>
      </c>
      <c r="AD69" s="215" t="s">
        <v>580</v>
      </c>
      <c r="AE69" s="307" t="s">
        <v>596</v>
      </c>
      <c r="AF69" s="222">
        <v>591</v>
      </c>
      <c r="AG69" s="223">
        <v>704</v>
      </c>
      <c r="AH69" s="224">
        <v>704</v>
      </c>
      <c r="AI69" s="156" t="s">
        <v>592</v>
      </c>
      <c r="AJ69" s="156"/>
      <c r="AK69" s="156"/>
      <c r="AL69" s="199"/>
      <c r="AM69" s="199"/>
      <c r="AN69" s="199"/>
      <c r="AO69" s="154"/>
    </row>
    <row r="70" spans="1:41" ht="76.5">
      <c r="A70" s="68"/>
      <c r="B70" s="69"/>
      <c r="C70" s="69"/>
      <c r="D70" s="69"/>
      <c r="M70" s="306" t="s">
        <v>595</v>
      </c>
      <c r="N70" s="215" t="s">
        <v>384</v>
      </c>
      <c r="O70" s="215" t="s">
        <v>384</v>
      </c>
      <c r="P70" s="215" t="s">
        <v>580</v>
      </c>
      <c r="Q70" s="307" t="s">
        <v>596</v>
      </c>
      <c r="R70" s="222">
        <v>783</v>
      </c>
      <c r="S70" s="223">
        <v>926</v>
      </c>
      <c r="T70" s="224">
        <v>926</v>
      </c>
      <c r="U70" s="156" t="s">
        <v>593</v>
      </c>
      <c r="V70" s="156"/>
      <c r="W70" s="156"/>
      <c r="X70" s="166"/>
      <c r="Y70" s="154"/>
      <c r="Z70" s="154"/>
      <c r="AA70" s="306" t="s">
        <v>595</v>
      </c>
      <c r="AB70" s="215" t="s">
        <v>384</v>
      </c>
      <c r="AC70" s="215" t="s">
        <v>384</v>
      </c>
      <c r="AD70" s="215" t="s">
        <v>580</v>
      </c>
      <c r="AE70" s="307" t="s">
        <v>596</v>
      </c>
      <c r="AF70" s="222">
        <v>783</v>
      </c>
      <c r="AG70" s="223">
        <v>926</v>
      </c>
      <c r="AH70" s="224">
        <v>926</v>
      </c>
      <c r="AI70" s="156" t="s">
        <v>593</v>
      </c>
      <c r="AJ70" s="156"/>
      <c r="AK70" s="156"/>
      <c r="AL70" s="199"/>
      <c r="AM70" s="199"/>
      <c r="AN70" s="199"/>
      <c r="AO70" s="154"/>
    </row>
    <row r="71" spans="1:41" ht="76.5">
      <c r="M71" s="306" t="s">
        <v>595</v>
      </c>
      <c r="N71" s="215" t="s">
        <v>384</v>
      </c>
      <c r="O71" s="215" t="s">
        <v>384</v>
      </c>
      <c r="P71" s="215" t="s">
        <v>580</v>
      </c>
      <c r="Q71" s="307" t="s">
        <v>596</v>
      </c>
      <c r="R71" s="222">
        <v>730</v>
      </c>
      <c r="S71" s="223">
        <v>926</v>
      </c>
      <c r="T71" s="224">
        <v>926</v>
      </c>
      <c r="U71" s="156" t="s">
        <v>594</v>
      </c>
      <c r="V71" s="156"/>
      <c r="W71" s="156"/>
      <c r="X71" s="166"/>
      <c r="Y71" s="154"/>
      <c r="Z71" s="154"/>
      <c r="AA71" s="306" t="s">
        <v>595</v>
      </c>
      <c r="AB71" s="215" t="s">
        <v>384</v>
      </c>
      <c r="AC71" s="215" t="s">
        <v>384</v>
      </c>
      <c r="AD71" s="215" t="s">
        <v>580</v>
      </c>
      <c r="AE71" s="307" t="s">
        <v>596</v>
      </c>
      <c r="AF71" s="222">
        <v>730</v>
      </c>
      <c r="AG71" s="223">
        <v>926</v>
      </c>
      <c r="AH71" s="224">
        <v>926</v>
      </c>
      <c r="AI71" s="156" t="s">
        <v>594</v>
      </c>
      <c r="AJ71" s="156"/>
      <c r="AK71" s="156"/>
      <c r="AL71" s="199"/>
      <c r="AM71" s="199"/>
      <c r="AN71" s="199"/>
      <c r="AO71" s="154"/>
    </row>
    <row r="72" spans="1:41">
      <c r="M72" s="305" t="s">
        <v>385</v>
      </c>
      <c r="N72" s="215" t="s">
        <v>597</v>
      </c>
      <c r="O72" s="215" t="s">
        <v>597</v>
      </c>
      <c r="P72" s="215" t="s">
        <v>583</v>
      </c>
      <c r="Q72" s="307" t="s">
        <v>590</v>
      </c>
      <c r="R72" s="222" t="s">
        <v>598</v>
      </c>
      <c r="S72" s="223">
        <v>1045</v>
      </c>
      <c r="T72" s="224">
        <v>1045</v>
      </c>
      <c r="U72" s="156"/>
      <c r="V72" s="156"/>
      <c r="W72" s="156"/>
      <c r="X72" s="167"/>
      <c r="Y72" s="154"/>
      <c r="Z72" s="154"/>
      <c r="AA72" s="305" t="s">
        <v>385</v>
      </c>
      <c r="AB72" s="215" t="s">
        <v>597</v>
      </c>
      <c r="AC72" s="215" t="s">
        <v>597</v>
      </c>
      <c r="AD72" s="215" t="s">
        <v>583</v>
      </c>
      <c r="AE72" s="307" t="s">
        <v>590</v>
      </c>
      <c r="AF72" s="222" t="s">
        <v>598</v>
      </c>
      <c r="AG72" s="223">
        <v>1045</v>
      </c>
      <c r="AH72" s="224">
        <v>1045</v>
      </c>
      <c r="AI72" s="156"/>
      <c r="AJ72" s="156"/>
      <c r="AK72" s="156"/>
      <c r="AL72" s="199"/>
      <c r="AM72" s="199"/>
      <c r="AN72" s="199"/>
      <c r="AO72" s="154"/>
    </row>
    <row r="73" spans="1:41">
      <c r="M73" s="214" t="s">
        <v>398</v>
      </c>
      <c r="N73" s="215" t="s">
        <v>410</v>
      </c>
      <c r="O73" s="215" t="s">
        <v>411</v>
      </c>
      <c r="P73" s="215" t="s">
        <v>599</v>
      </c>
      <c r="Q73" s="216" t="s">
        <v>412</v>
      </c>
      <c r="R73" s="222">
        <v>218.05555555555554</v>
      </c>
      <c r="S73" s="223">
        <v>236.11111111111111</v>
      </c>
      <c r="T73" s="224">
        <v>236.11111111111111</v>
      </c>
      <c r="U73" s="304"/>
      <c r="V73" s="156"/>
      <c r="W73" s="156"/>
      <c r="X73" s="167"/>
      <c r="Y73" s="154"/>
      <c r="AA73" s="214" t="s">
        <v>398</v>
      </c>
      <c r="AB73" s="215" t="s">
        <v>410</v>
      </c>
      <c r="AC73" s="215" t="s">
        <v>411</v>
      </c>
      <c r="AD73" s="215" t="s">
        <v>599</v>
      </c>
      <c r="AE73" s="216" t="s">
        <v>412</v>
      </c>
      <c r="AF73" s="222">
        <v>218.05555555555554</v>
      </c>
      <c r="AG73" s="223">
        <v>236.11111111111111</v>
      </c>
      <c r="AH73" s="224">
        <v>236.11111111111111</v>
      </c>
      <c r="AI73" s="304"/>
      <c r="AJ73" s="156"/>
      <c r="AK73" s="156"/>
      <c r="AL73" s="199"/>
      <c r="AM73" s="199"/>
      <c r="AN73" s="199"/>
      <c r="AO73" s="154"/>
    </row>
    <row r="74" spans="1:41">
      <c r="M74" s="214" t="s">
        <v>398</v>
      </c>
      <c r="N74" s="215" t="s">
        <v>410</v>
      </c>
      <c r="O74" s="215" t="s">
        <v>411</v>
      </c>
      <c r="P74" s="215" t="s">
        <v>599</v>
      </c>
      <c r="Q74" s="216" t="s">
        <v>466</v>
      </c>
      <c r="R74" s="222">
        <v>301.38888888888886</v>
      </c>
      <c r="S74" s="223">
        <v>319.44444444444446</v>
      </c>
      <c r="T74" s="224">
        <v>319.44444444444446</v>
      </c>
      <c r="U74" s="304"/>
      <c r="V74" s="156"/>
      <c r="W74" s="156"/>
      <c r="X74" s="167"/>
      <c r="Y74" s="154"/>
      <c r="AA74" s="214" t="s">
        <v>398</v>
      </c>
      <c r="AB74" s="215" t="s">
        <v>410</v>
      </c>
      <c r="AC74" s="215" t="s">
        <v>411</v>
      </c>
      <c r="AD74" s="215" t="s">
        <v>599</v>
      </c>
      <c r="AE74" s="216" t="s">
        <v>466</v>
      </c>
      <c r="AF74" s="222">
        <v>301.38888888888886</v>
      </c>
      <c r="AG74" s="223">
        <v>319.44444444444446</v>
      </c>
      <c r="AH74" s="224">
        <v>319.44444444444446</v>
      </c>
      <c r="AI74" s="304"/>
      <c r="AJ74" s="156"/>
      <c r="AK74" s="156"/>
      <c r="AL74" s="200"/>
      <c r="AM74" s="200"/>
      <c r="AN74" s="200"/>
      <c r="AO74" s="108"/>
    </row>
    <row r="75" spans="1:41">
      <c r="M75" s="214" t="s">
        <v>398</v>
      </c>
      <c r="N75" s="215" t="s">
        <v>410</v>
      </c>
      <c r="O75" s="215" t="s">
        <v>450</v>
      </c>
      <c r="P75" s="216" t="s">
        <v>586</v>
      </c>
      <c r="Q75" s="216" t="s">
        <v>412</v>
      </c>
      <c r="R75" s="222">
        <v>208.33333333333331</v>
      </c>
      <c r="S75" s="223">
        <v>208.33333333333331</v>
      </c>
      <c r="T75" s="224">
        <v>208.33333333333331</v>
      </c>
      <c r="U75" s="304"/>
      <c r="V75" s="156"/>
      <c r="W75" s="156"/>
      <c r="X75" s="167"/>
      <c r="Y75" s="152"/>
      <c r="Z75" s="152"/>
      <c r="AA75" s="214" t="s">
        <v>398</v>
      </c>
      <c r="AB75" s="215" t="s">
        <v>410</v>
      </c>
      <c r="AC75" s="215" t="s">
        <v>450</v>
      </c>
      <c r="AD75" s="216" t="s">
        <v>586</v>
      </c>
      <c r="AE75" s="216" t="s">
        <v>412</v>
      </c>
      <c r="AF75" s="222">
        <v>208.33333333333331</v>
      </c>
      <c r="AG75" s="223">
        <v>208.33333333333331</v>
      </c>
      <c r="AH75" s="224">
        <v>208.33333333333331</v>
      </c>
      <c r="AI75" s="304"/>
      <c r="AJ75" s="156"/>
      <c r="AK75" s="156"/>
      <c r="AL75" s="201"/>
      <c r="AM75" s="201"/>
      <c r="AN75" s="201"/>
      <c r="AO75" s="153"/>
    </row>
    <row r="76" spans="1:41">
      <c r="M76" s="214" t="s">
        <v>398</v>
      </c>
      <c r="N76" s="215" t="s">
        <v>410</v>
      </c>
      <c r="O76" s="215" t="s">
        <v>450</v>
      </c>
      <c r="P76" s="216" t="s">
        <v>586</v>
      </c>
      <c r="Q76" s="216" t="s">
        <v>466</v>
      </c>
      <c r="R76" s="222">
        <v>250</v>
      </c>
      <c r="S76" s="223">
        <v>250</v>
      </c>
      <c r="T76" s="224">
        <v>250</v>
      </c>
      <c r="U76" s="304"/>
      <c r="V76" s="156"/>
      <c r="W76" s="156"/>
      <c r="X76" s="167"/>
      <c r="Y76" s="152"/>
      <c r="AA76" s="214" t="s">
        <v>398</v>
      </c>
      <c r="AB76" s="215" t="s">
        <v>410</v>
      </c>
      <c r="AC76" s="215" t="s">
        <v>450</v>
      </c>
      <c r="AD76" s="216" t="s">
        <v>586</v>
      </c>
      <c r="AE76" s="216" t="s">
        <v>466</v>
      </c>
      <c r="AF76" s="222">
        <v>250</v>
      </c>
      <c r="AG76" s="223">
        <v>250</v>
      </c>
      <c r="AH76" s="224">
        <v>250</v>
      </c>
      <c r="AI76" s="304"/>
      <c r="AJ76" s="156"/>
      <c r="AK76" s="156"/>
      <c r="AL76" s="108"/>
      <c r="AM76" s="108"/>
      <c r="AN76" s="108"/>
      <c r="AO76" s="108"/>
    </row>
    <row r="77" spans="1:41">
      <c r="M77" s="214" t="s">
        <v>398</v>
      </c>
      <c r="N77" s="215" t="s">
        <v>410</v>
      </c>
      <c r="O77" s="215" t="s">
        <v>539</v>
      </c>
      <c r="P77" s="216" t="s">
        <v>586</v>
      </c>
      <c r="Q77" s="216" t="s">
        <v>412</v>
      </c>
      <c r="R77" s="222">
        <v>208.33333333333331</v>
      </c>
      <c r="S77" s="223">
        <v>208.33333333333331</v>
      </c>
      <c r="T77" s="224">
        <v>208.33333333333331</v>
      </c>
      <c r="U77" s="304"/>
      <c r="V77" s="156"/>
      <c r="W77" s="156"/>
      <c r="X77" s="167"/>
      <c r="Y77" s="152"/>
      <c r="AA77" s="214" t="s">
        <v>398</v>
      </c>
      <c r="AB77" s="215" t="s">
        <v>410</v>
      </c>
      <c r="AC77" s="215" t="s">
        <v>539</v>
      </c>
      <c r="AD77" s="216" t="s">
        <v>586</v>
      </c>
      <c r="AE77" s="216" t="s">
        <v>412</v>
      </c>
      <c r="AF77" s="222">
        <v>208.33333333333331</v>
      </c>
      <c r="AG77" s="223">
        <v>208.33333333333331</v>
      </c>
      <c r="AH77" s="224">
        <v>208.33333333333331</v>
      </c>
      <c r="AI77" s="304"/>
      <c r="AJ77" s="156"/>
      <c r="AK77" s="156"/>
      <c r="AL77" s="163"/>
    </row>
    <row r="78" spans="1:41">
      <c r="M78" s="214" t="s">
        <v>398</v>
      </c>
      <c r="N78" s="215" t="s">
        <v>410</v>
      </c>
      <c r="O78" s="215" t="s">
        <v>539</v>
      </c>
      <c r="P78" s="216" t="s">
        <v>586</v>
      </c>
      <c r="Q78" s="216" t="s">
        <v>466</v>
      </c>
      <c r="R78" s="222">
        <v>250</v>
      </c>
      <c r="S78" s="223">
        <v>250</v>
      </c>
      <c r="T78" s="224">
        <v>250</v>
      </c>
      <c r="U78" s="304"/>
      <c r="V78" s="156"/>
      <c r="W78" s="156"/>
      <c r="X78" s="167"/>
      <c r="Y78" s="155"/>
      <c r="AA78" s="214" t="s">
        <v>398</v>
      </c>
      <c r="AB78" s="215" t="s">
        <v>410</v>
      </c>
      <c r="AC78" s="215" t="s">
        <v>539</v>
      </c>
      <c r="AD78" s="216" t="s">
        <v>586</v>
      </c>
      <c r="AE78" s="216" t="s">
        <v>466</v>
      </c>
      <c r="AF78" s="222">
        <v>250</v>
      </c>
      <c r="AG78" s="223">
        <v>250</v>
      </c>
      <c r="AH78" s="224">
        <v>250</v>
      </c>
      <c r="AI78" s="304"/>
      <c r="AJ78" s="156"/>
      <c r="AK78" s="156"/>
      <c r="AL78" s="163"/>
    </row>
    <row r="79" spans="1:41">
      <c r="M79" s="214" t="s">
        <v>398</v>
      </c>
      <c r="N79" s="215" t="s">
        <v>383</v>
      </c>
      <c r="O79" s="215" t="s">
        <v>451</v>
      </c>
      <c r="P79" s="215" t="s">
        <v>571</v>
      </c>
      <c r="Q79" s="216" t="s">
        <v>412</v>
      </c>
      <c r="R79" s="222">
        <v>465.27777777777777</v>
      </c>
      <c r="S79" s="223">
        <v>527.77777777777771</v>
      </c>
      <c r="T79" s="224">
        <v>527.77777777777771</v>
      </c>
      <c r="U79" s="304"/>
      <c r="V79" s="156"/>
      <c r="W79" s="156"/>
      <c r="X79" s="166"/>
      <c r="AA79" s="214" t="s">
        <v>398</v>
      </c>
      <c r="AB79" s="215" t="s">
        <v>383</v>
      </c>
      <c r="AC79" s="215" t="s">
        <v>451</v>
      </c>
      <c r="AD79" s="215" t="s">
        <v>571</v>
      </c>
      <c r="AE79" s="216" t="s">
        <v>412</v>
      </c>
      <c r="AF79" s="222">
        <v>465.27777777777777</v>
      </c>
      <c r="AG79" s="223">
        <v>527.77777777777771</v>
      </c>
      <c r="AH79" s="224">
        <v>527.77777777777771</v>
      </c>
      <c r="AI79" s="304"/>
      <c r="AJ79" s="156"/>
      <c r="AK79" s="156"/>
      <c r="AL79" s="164"/>
    </row>
    <row r="80" spans="1:41">
      <c r="M80" s="214" t="s">
        <v>398</v>
      </c>
      <c r="N80" s="215" t="s">
        <v>383</v>
      </c>
      <c r="O80" s="215" t="s">
        <v>451</v>
      </c>
      <c r="P80" s="215" t="s">
        <v>571</v>
      </c>
      <c r="Q80" s="216" t="s">
        <v>466</v>
      </c>
      <c r="R80" s="222">
        <v>506.94444444444446</v>
      </c>
      <c r="S80" s="223">
        <v>569.44444444444446</v>
      </c>
      <c r="T80" s="224">
        <v>569.44444444444446</v>
      </c>
      <c r="U80" s="304"/>
      <c r="V80" s="156"/>
      <c r="W80" s="156"/>
      <c r="X80" s="166"/>
      <c r="AA80" s="214" t="s">
        <v>398</v>
      </c>
      <c r="AB80" s="215" t="s">
        <v>383</v>
      </c>
      <c r="AC80" s="215" t="s">
        <v>451</v>
      </c>
      <c r="AD80" s="215" t="s">
        <v>571</v>
      </c>
      <c r="AE80" s="216" t="s">
        <v>466</v>
      </c>
      <c r="AF80" s="222">
        <v>506.94444444444446</v>
      </c>
      <c r="AG80" s="223">
        <v>569.44444444444446</v>
      </c>
      <c r="AH80" s="224">
        <v>569.44444444444446</v>
      </c>
      <c r="AI80" s="304"/>
      <c r="AJ80" s="156"/>
      <c r="AK80" s="156"/>
      <c r="AL80" s="163"/>
    </row>
    <row r="81" spans="13:37">
      <c r="M81" s="305" t="s">
        <v>385</v>
      </c>
      <c r="N81" s="215" t="s">
        <v>383</v>
      </c>
      <c r="O81" s="215" t="s">
        <v>451</v>
      </c>
      <c r="P81" s="215" t="s">
        <v>571</v>
      </c>
      <c r="Q81" s="216" t="s">
        <v>600</v>
      </c>
      <c r="R81" s="222">
        <v>529</v>
      </c>
      <c r="S81" s="223">
        <v>515</v>
      </c>
      <c r="T81" s="224">
        <v>515</v>
      </c>
      <c r="U81" s="304"/>
      <c r="V81" s="156"/>
      <c r="W81" s="156"/>
      <c r="AA81" s="305" t="s">
        <v>385</v>
      </c>
      <c r="AB81" s="215" t="s">
        <v>383</v>
      </c>
      <c r="AC81" s="215" t="s">
        <v>451</v>
      </c>
      <c r="AD81" s="215" t="s">
        <v>571</v>
      </c>
      <c r="AE81" s="216" t="s">
        <v>600</v>
      </c>
      <c r="AF81" s="222">
        <v>529</v>
      </c>
      <c r="AG81" s="223">
        <v>515</v>
      </c>
      <c r="AH81" s="224">
        <v>515</v>
      </c>
      <c r="AI81" s="304"/>
      <c r="AJ81" s="156"/>
      <c r="AK81" s="156"/>
    </row>
    <row r="82" spans="13:37">
      <c r="M82" s="214" t="s">
        <v>398</v>
      </c>
      <c r="N82" s="215" t="s">
        <v>383</v>
      </c>
      <c r="O82" s="215" t="s">
        <v>540</v>
      </c>
      <c r="P82" s="215" t="s">
        <v>601</v>
      </c>
      <c r="Q82" s="216" t="s">
        <v>412</v>
      </c>
      <c r="R82" s="222">
        <v>625</v>
      </c>
      <c r="S82" s="223">
        <v>702.77777777777771</v>
      </c>
      <c r="T82" s="224">
        <v>702.77777777777771</v>
      </c>
      <c r="U82" s="304"/>
      <c r="V82" s="156"/>
      <c r="W82" s="156"/>
      <c r="AA82" s="214" t="s">
        <v>398</v>
      </c>
      <c r="AB82" s="215" t="s">
        <v>383</v>
      </c>
      <c r="AC82" s="215" t="s">
        <v>540</v>
      </c>
      <c r="AD82" s="215" t="s">
        <v>601</v>
      </c>
      <c r="AE82" s="216" t="s">
        <v>412</v>
      </c>
      <c r="AF82" s="222">
        <v>625</v>
      </c>
      <c r="AG82" s="223">
        <v>702.77777777777771</v>
      </c>
      <c r="AH82" s="224">
        <v>702.77777777777771</v>
      </c>
      <c r="AI82" s="304"/>
      <c r="AJ82" s="156"/>
      <c r="AK82" s="156"/>
    </row>
    <row r="83" spans="13:37">
      <c r="M83" s="214" t="s">
        <v>398</v>
      </c>
      <c r="N83" s="215" t="s">
        <v>383</v>
      </c>
      <c r="O83" s="215" t="s">
        <v>540</v>
      </c>
      <c r="P83" s="215" t="s">
        <v>601</v>
      </c>
      <c r="Q83" s="216" t="s">
        <v>466</v>
      </c>
      <c r="R83" s="222">
        <v>666.66666666666663</v>
      </c>
      <c r="S83" s="223">
        <v>744.44444444444446</v>
      </c>
      <c r="T83" s="224">
        <v>744.44444444444446</v>
      </c>
      <c r="U83" s="304"/>
      <c r="V83" s="156"/>
      <c r="W83" s="156"/>
      <c r="AA83" s="214" t="s">
        <v>398</v>
      </c>
      <c r="AB83" s="215" t="s">
        <v>383</v>
      </c>
      <c r="AC83" s="215" t="s">
        <v>540</v>
      </c>
      <c r="AD83" s="215" t="s">
        <v>601</v>
      </c>
      <c r="AE83" s="216" t="s">
        <v>466</v>
      </c>
      <c r="AF83" s="222">
        <v>666.66666666666663</v>
      </c>
      <c r="AG83" s="223">
        <v>744.44444444444446</v>
      </c>
      <c r="AH83" s="224">
        <v>744.44444444444446</v>
      </c>
      <c r="AI83" s="304"/>
      <c r="AJ83" s="156"/>
      <c r="AK83" s="156"/>
    </row>
    <row r="84" spans="13:37">
      <c r="M84" s="214" t="s">
        <v>398</v>
      </c>
      <c r="N84" s="215" t="s">
        <v>382</v>
      </c>
      <c r="O84" s="215" t="s">
        <v>452</v>
      </c>
      <c r="P84" s="215" t="s">
        <v>575</v>
      </c>
      <c r="Q84" s="216" t="s">
        <v>412</v>
      </c>
      <c r="R84" s="222">
        <v>548.61111111111109</v>
      </c>
      <c r="S84" s="223">
        <v>763.88888888888891</v>
      </c>
      <c r="T84" s="224">
        <v>763.88888888888891</v>
      </c>
      <c r="U84" s="304"/>
      <c r="V84" s="156"/>
      <c r="W84" s="156"/>
      <c r="AA84" s="214" t="s">
        <v>398</v>
      </c>
      <c r="AB84" s="215" t="s">
        <v>382</v>
      </c>
      <c r="AC84" s="215" t="s">
        <v>452</v>
      </c>
      <c r="AD84" s="215" t="s">
        <v>575</v>
      </c>
      <c r="AE84" s="216" t="s">
        <v>412</v>
      </c>
      <c r="AF84" s="222">
        <v>548.61111111111109</v>
      </c>
      <c r="AG84" s="223">
        <v>763.88888888888891</v>
      </c>
      <c r="AH84" s="224">
        <v>763.88888888888891</v>
      </c>
      <c r="AI84" s="304"/>
      <c r="AJ84" s="156"/>
      <c r="AK84" s="156"/>
    </row>
    <row r="85" spans="13:37">
      <c r="M85" s="217" t="s">
        <v>398</v>
      </c>
      <c r="N85" s="218" t="s">
        <v>382</v>
      </c>
      <c r="O85" s="218" t="s">
        <v>452</v>
      </c>
      <c r="P85" s="218" t="s">
        <v>575</v>
      </c>
      <c r="Q85" s="219" t="s">
        <v>466</v>
      </c>
      <c r="R85" s="225">
        <v>590.27777777777771</v>
      </c>
      <c r="S85" s="226">
        <v>805.55555555555554</v>
      </c>
      <c r="T85" s="227">
        <v>805.55555555555554</v>
      </c>
      <c r="U85" s="304"/>
      <c r="V85" s="156"/>
      <c r="W85" s="156"/>
      <c r="AA85" s="217" t="s">
        <v>398</v>
      </c>
      <c r="AB85" s="218" t="s">
        <v>382</v>
      </c>
      <c r="AC85" s="218" t="s">
        <v>452</v>
      </c>
      <c r="AD85" s="218" t="s">
        <v>575</v>
      </c>
      <c r="AE85" s="219" t="s">
        <v>466</v>
      </c>
      <c r="AF85" s="225">
        <v>590.27777777777771</v>
      </c>
      <c r="AG85" s="226">
        <v>805.55555555555554</v>
      </c>
      <c r="AH85" s="227">
        <v>805.55555555555554</v>
      </c>
      <c r="AI85" s="304"/>
      <c r="AJ85" s="156"/>
      <c r="AK85" s="156"/>
    </row>
    <row r="86" spans="13:37">
      <c r="M86" s="308" t="s">
        <v>385</v>
      </c>
      <c r="N86" s="309" t="s">
        <v>383</v>
      </c>
      <c r="O86" s="309" t="s">
        <v>452</v>
      </c>
      <c r="P86" s="309" t="s">
        <v>602</v>
      </c>
      <c r="Q86" s="310" t="s">
        <v>603</v>
      </c>
      <c r="R86" s="311">
        <v>649</v>
      </c>
      <c r="S86" s="312">
        <v>830</v>
      </c>
      <c r="T86" s="313">
        <v>830</v>
      </c>
      <c r="U86" s="304"/>
      <c r="V86" s="156"/>
      <c r="W86" s="156"/>
      <c r="AA86" s="308" t="s">
        <v>385</v>
      </c>
      <c r="AB86" s="309" t="s">
        <v>383</v>
      </c>
      <c r="AC86" s="309" t="s">
        <v>452</v>
      </c>
      <c r="AD86" s="309" t="s">
        <v>602</v>
      </c>
      <c r="AE86" s="310" t="s">
        <v>603</v>
      </c>
      <c r="AF86" s="311">
        <v>649</v>
      </c>
      <c r="AG86" s="312">
        <v>830</v>
      </c>
      <c r="AH86" s="313">
        <v>830</v>
      </c>
      <c r="AI86" s="304"/>
      <c r="AJ86" s="156"/>
      <c r="AK86" s="156"/>
    </row>
    <row r="87" spans="13:37">
      <c r="M87" s="308" t="s">
        <v>385</v>
      </c>
      <c r="N87" s="309" t="s">
        <v>383</v>
      </c>
      <c r="O87" s="309" t="s">
        <v>452</v>
      </c>
      <c r="P87" s="309" t="s">
        <v>602</v>
      </c>
      <c r="Q87" s="310" t="s">
        <v>603</v>
      </c>
      <c r="R87" s="222" t="s">
        <v>598</v>
      </c>
      <c r="S87" s="223">
        <v>1080</v>
      </c>
      <c r="T87" s="224">
        <v>1080</v>
      </c>
      <c r="U87" s="156" t="s">
        <v>594</v>
      </c>
      <c r="V87" s="156"/>
      <c r="W87" s="156"/>
      <c r="AA87" s="308" t="s">
        <v>385</v>
      </c>
      <c r="AB87" s="309" t="s">
        <v>383</v>
      </c>
      <c r="AC87" s="309" t="s">
        <v>452</v>
      </c>
      <c r="AD87" s="309" t="s">
        <v>602</v>
      </c>
      <c r="AE87" s="310" t="s">
        <v>603</v>
      </c>
      <c r="AF87" s="222" t="s">
        <v>598</v>
      </c>
      <c r="AG87" s="223">
        <v>1080</v>
      </c>
      <c r="AH87" s="224">
        <v>1080</v>
      </c>
      <c r="AI87" s="156" t="s">
        <v>594</v>
      </c>
      <c r="AJ87" s="156"/>
      <c r="AK87" s="156"/>
    </row>
    <row r="88" spans="13:37">
      <c r="M88" s="308" t="s">
        <v>385</v>
      </c>
      <c r="N88" s="309" t="s">
        <v>383</v>
      </c>
      <c r="O88" s="309" t="s">
        <v>452</v>
      </c>
      <c r="P88" s="309" t="s">
        <v>602</v>
      </c>
      <c r="Q88" s="310" t="s">
        <v>604</v>
      </c>
      <c r="R88" s="222">
        <v>612</v>
      </c>
      <c r="S88" s="223">
        <v>793</v>
      </c>
      <c r="T88" s="224">
        <v>793</v>
      </c>
      <c r="U88" s="220"/>
      <c r="V88" s="156"/>
      <c r="W88" s="156"/>
      <c r="AA88" s="308" t="s">
        <v>385</v>
      </c>
      <c r="AB88" s="309" t="s">
        <v>383</v>
      </c>
      <c r="AC88" s="309" t="s">
        <v>452</v>
      </c>
      <c r="AD88" s="309" t="s">
        <v>602</v>
      </c>
      <c r="AE88" s="310" t="s">
        <v>604</v>
      </c>
      <c r="AF88" s="222">
        <v>612</v>
      </c>
      <c r="AG88" s="223">
        <v>793</v>
      </c>
      <c r="AH88" s="224">
        <v>793</v>
      </c>
      <c r="AI88" s="220"/>
      <c r="AJ88" s="156"/>
      <c r="AK88" s="156"/>
    </row>
    <row r="89" spans="13:37" ht="14.45" customHeight="1">
      <c r="M89" s="308" t="s">
        <v>385</v>
      </c>
      <c r="N89" s="309" t="s">
        <v>383</v>
      </c>
      <c r="O89" s="309" t="s">
        <v>452</v>
      </c>
      <c r="P89" s="309" t="s">
        <v>602</v>
      </c>
      <c r="Q89" s="310" t="s">
        <v>604</v>
      </c>
      <c r="R89" s="222" t="s">
        <v>598</v>
      </c>
      <c r="S89" s="223">
        <v>1080</v>
      </c>
      <c r="T89" s="224">
        <v>1080</v>
      </c>
      <c r="U89" s="156" t="s">
        <v>594</v>
      </c>
      <c r="V89" s="156"/>
      <c r="W89" s="156"/>
      <c r="AA89" s="308" t="s">
        <v>385</v>
      </c>
      <c r="AB89" s="309" t="s">
        <v>383</v>
      </c>
      <c r="AC89" s="309" t="s">
        <v>452</v>
      </c>
      <c r="AD89" s="309" t="s">
        <v>602</v>
      </c>
      <c r="AE89" s="310" t="s">
        <v>604</v>
      </c>
      <c r="AF89" s="222" t="s">
        <v>598</v>
      </c>
      <c r="AG89" s="223">
        <v>1080</v>
      </c>
      <c r="AH89" s="224">
        <v>1080</v>
      </c>
      <c r="AI89" s="156" t="s">
        <v>594</v>
      </c>
      <c r="AJ89" s="156"/>
      <c r="AK89" s="156"/>
    </row>
    <row r="90" spans="13:37">
      <c r="M90" s="314" t="s">
        <v>385</v>
      </c>
      <c r="N90" s="315" t="s">
        <v>383</v>
      </c>
      <c r="O90" s="315" t="s">
        <v>605</v>
      </c>
      <c r="P90" s="315" t="s">
        <v>602</v>
      </c>
      <c r="Q90" s="316" t="s">
        <v>606</v>
      </c>
      <c r="R90" s="225">
        <v>479</v>
      </c>
      <c r="S90" s="226">
        <v>640</v>
      </c>
      <c r="T90" s="227">
        <v>640</v>
      </c>
      <c r="U90" s="304"/>
      <c r="V90" s="156"/>
      <c r="W90" s="156"/>
      <c r="AA90" s="314" t="s">
        <v>385</v>
      </c>
      <c r="AB90" s="315" t="s">
        <v>383</v>
      </c>
      <c r="AC90" s="315" t="s">
        <v>605</v>
      </c>
      <c r="AD90" s="315" t="s">
        <v>602</v>
      </c>
      <c r="AE90" s="316" t="s">
        <v>606</v>
      </c>
      <c r="AF90" s="225">
        <v>479</v>
      </c>
      <c r="AG90" s="226">
        <v>640</v>
      </c>
      <c r="AH90" s="227">
        <v>640</v>
      </c>
      <c r="AI90" s="304"/>
      <c r="AJ90" s="156"/>
      <c r="AK90" s="156"/>
    </row>
    <row r="91" spans="13:37" ht="15.75" thickBot="1">
      <c r="M91" s="317" t="s">
        <v>385</v>
      </c>
      <c r="N91" s="318" t="s">
        <v>383</v>
      </c>
      <c r="O91" s="318" t="s">
        <v>452</v>
      </c>
      <c r="P91" s="318" t="s">
        <v>602</v>
      </c>
      <c r="Q91" s="319" t="s">
        <v>600</v>
      </c>
      <c r="R91" s="320" t="s">
        <v>598</v>
      </c>
      <c r="S91" s="321">
        <v>582</v>
      </c>
      <c r="T91" s="322">
        <v>582</v>
      </c>
      <c r="U91" s="156" t="s">
        <v>594</v>
      </c>
      <c r="V91" s="156"/>
      <c r="W91" s="156"/>
      <c r="AA91" s="317" t="s">
        <v>385</v>
      </c>
      <c r="AB91" s="318" t="s">
        <v>383</v>
      </c>
      <c r="AC91" s="318" t="s">
        <v>452</v>
      </c>
      <c r="AD91" s="318" t="s">
        <v>602</v>
      </c>
      <c r="AE91" s="319" t="s">
        <v>600</v>
      </c>
      <c r="AF91" s="320" t="s">
        <v>598</v>
      </c>
      <c r="AG91" s="321">
        <v>582</v>
      </c>
      <c r="AH91" s="322">
        <v>582</v>
      </c>
      <c r="AI91" s="156" t="s">
        <v>594</v>
      </c>
      <c r="AJ91" s="156"/>
      <c r="AK91" s="156"/>
    </row>
    <row r="92" spans="13:37">
      <c r="M92" s="202" t="s">
        <v>378</v>
      </c>
      <c r="N92" s="203" t="s">
        <v>368</v>
      </c>
      <c r="O92" s="203" t="s">
        <v>369</v>
      </c>
      <c r="P92" s="229" t="s">
        <v>548</v>
      </c>
      <c r="Q92" s="204" t="s">
        <v>370</v>
      </c>
      <c r="R92" s="323">
        <v>50</v>
      </c>
      <c r="S92" s="206">
        <v>250</v>
      </c>
      <c r="T92" s="207">
        <v>250</v>
      </c>
      <c r="U92" s="221"/>
      <c r="V92" s="304"/>
      <c r="W92" s="304"/>
      <c r="AA92" s="228" t="s">
        <v>378</v>
      </c>
      <c r="AB92" s="229" t="s">
        <v>368</v>
      </c>
      <c r="AC92" s="229" t="s">
        <v>369</v>
      </c>
      <c r="AD92" s="229" t="s">
        <v>548</v>
      </c>
      <c r="AE92" s="331" t="s">
        <v>370</v>
      </c>
      <c r="AF92" s="332">
        <v>75</v>
      </c>
      <c r="AG92" s="230">
        <v>300</v>
      </c>
      <c r="AH92" s="231">
        <v>300</v>
      </c>
      <c r="AI92" s="221"/>
      <c r="AJ92" s="304"/>
      <c r="AK92" s="304"/>
    </row>
    <row r="93" spans="13:37">
      <c r="M93" s="208" t="s">
        <v>378</v>
      </c>
      <c r="N93" s="209" t="s">
        <v>373</v>
      </c>
      <c r="O93" s="209" t="s">
        <v>374</v>
      </c>
      <c r="P93" s="209" t="s">
        <v>607</v>
      </c>
      <c r="Q93" s="210" t="s">
        <v>370</v>
      </c>
      <c r="R93" s="211">
        <v>50</v>
      </c>
      <c r="S93" s="212">
        <v>325</v>
      </c>
      <c r="T93" s="213">
        <v>325</v>
      </c>
      <c r="U93" s="304"/>
      <c r="V93" s="324"/>
      <c r="W93" s="304"/>
      <c r="AA93" s="208" t="s">
        <v>378</v>
      </c>
      <c r="AB93" s="209" t="s">
        <v>373</v>
      </c>
      <c r="AC93" s="209" t="s">
        <v>374</v>
      </c>
      <c r="AD93" s="209" t="s">
        <v>607</v>
      </c>
      <c r="AE93" s="210" t="s">
        <v>370</v>
      </c>
      <c r="AF93" s="211">
        <v>75</v>
      </c>
      <c r="AG93" s="212">
        <v>375</v>
      </c>
      <c r="AH93" s="213">
        <v>375</v>
      </c>
      <c r="AI93" s="304"/>
      <c r="AJ93" s="324"/>
      <c r="AK93" s="304"/>
    </row>
    <row r="94" spans="13:37">
      <c r="M94" s="208" t="s">
        <v>378</v>
      </c>
      <c r="N94" s="209" t="s">
        <v>373</v>
      </c>
      <c r="O94" s="209" t="s">
        <v>375</v>
      </c>
      <c r="P94" s="209" t="s">
        <v>608</v>
      </c>
      <c r="Q94" s="210" t="s">
        <v>370</v>
      </c>
      <c r="R94" s="211">
        <v>75</v>
      </c>
      <c r="S94" s="212">
        <v>275</v>
      </c>
      <c r="T94" s="213">
        <v>275</v>
      </c>
      <c r="U94" s="304"/>
      <c r="V94" s="324"/>
      <c r="W94" s="304"/>
      <c r="AA94" s="208" t="s">
        <v>378</v>
      </c>
      <c r="AB94" s="209" t="s">
        <v>373</v>
      </c>
      <c r="AC94" s="209" t="s">
        <v>375</v>
      </c>
      <c r="AD94" s="209" t="s">
        <v>608</v>
      </c>
      <c r="AE94" s="210" t="s">
        <v>370</v>
      </c>
      <c r="AF94" s="211">
        <v>125</v>
      </c>
      <c r="AG94" s="212">
        <v>350</v>
      </c>
      <c r="AH94" s="213">
        <v>350</v>
      </c>
      <c r="AI94" s="304"/>
      <c r="AJ94" s="324"/>
      <c r="AK94" s="304"/>
    </row>
    <row r="95" spans="13:37">
      <c r="M95" s="208" t="s">
        <v>378</v>
      </c>
      <c r="N95" s="209" t="s">
        <v>373</v>
      </c>
      <c r="O95" s="209" t="s">
        <v>376</v>
      </c>
      <c r="P95" s="209" t="s">
        <v>609</v>
      </c>
      <c r="Q95" s="210" t="s">
        <v>370</v>
      </c>
      <c r="R95" s="211">
        <v>50</v>
      </c>
      <c r="S95" s="212">
        <v>250</v>
      </c>
      <c r="T95" s="213">
        <v>250</v>
      </c>
      <c r="U95" s="304"/>
      <c r="V95" s="324"/>
      <c r="W95" s="304"/>
      <c r="AA95" s="208" t="s">
        <v>378</v>
      </c>
      <c r="AB95" s="209" t="s">
        <v>373</v>
      </c>
      <c r="AC95" s="209" t="s">
        <v>376</v>
      </c>
      <c r="AD95" s="209" t="s">
        <v>609</v>
      </c>
      <c r="AE95" s="210" t="s">
        <v>370</v>
      </c>
      <c r="AF95" s="211">
        <v>75</v>
      </c>
      <c r="AG95" s="212">
        <v>300</v>
      </c>
      <c r="AH95" s="213">
        <v>300</v>
      </c>
      <c r="AI95" s="304"/>
      <c r="AJ95" s="324"/>
      <c r="AK95" s="304"/>
    </row>
    <row r="96" spans="13:37">
      <c r="M96" s="208" t="s">
        <v>378</v>
      </c>
      <c r="N96" s="209" t="s">
        <v>373</v>
      </c>
      <c r="O96" s="209" t="s">
        <v>377</v>
      </c>
      <c r="P96" s="209" t="s">
        <v>610</v>
      </c>
      <c r="Q96" s="210" t="s">
        <v>370</v>
      </c>
      <c r="R96" s="211">
        <v>125</v>
      </c>
      <c r="S96" s="212">
        <v>225</v>
      </c>
      <c r="T96" s="213">
        <v>225</v>
      </c>
      <c r="U96" s="304"/>
      <c r="V96" s="304"/>
      <c r="W96" s="304"/>
      <c r="AA96" s="208" t="s">
        <v>378</v>
      </c>
      <c r="AB96" s="209" t="s">
        <v>373</v>
      </c>
      <c r="AC96" s="209" t="s">
        <v>377</v>
      </c>
      <c r="AD96" s="209" t="s">
        <v>610</v>
      </c>
      <c r="AE96" s="210" t="s">
        <v>370</v>
      </c>
      <c r="AF96" s="211">
        <v>150</v>
      </c>
      <c r="AG96" s="212">
        <v>275</v>
      </c>
      <c r="AH96" s="213">
        <v>275</v>
      </c>
      <c r="AI96" s="304"/>
      <c r="AJ96" s="304"/>
      <c r="AK96" s="304"/>
    </row>
    <row r="97" spans="13:37">
      <c r="M97" s="214" t="s">
        <v>385</v>
      </c>
      <c r="N97" s="215" t="s">
        <v>373</v>
      </c>
      <c r="O97" s="215" t="s">
        <v>453</v>
      </c>
      <c r="P97" s="215" t="s">
        <v>611</v>
      </c>
      <c r="Q97" s="216" t="s">
        <v>454</v>
      </c>
      <c r="R97" s="222">
        <v>572.08333333333337</v>
      </c>
      <c r="S97" s="223">
        <v>709.30555555555554</v>
      </c>
      <c r="T97" s="224">
        <v>709.30555555555554</v>
      </c>
      <c r="U97" s="304"/>
      <c r="V97" s="304"/>
      <c r="W97" s="304"/>
      <c r="AA97" s="214" t="s">
        <v>385</v>
      </c>
      <c r="AB97" s="215" t="s">
        <v>373</v>
      </c>
      <c r="AC97" s="215" t="s">
        <v>453</v>
      </c>
      <c r="AD97" s="215" t="s">
        <v>611</v>
      </c>
      <c r="AE97" s="216" t="s">
        <v>454</v>
      </c>
      <c r="AF97" s="222">
        <v>572.08333333333337</v>
      </c>
      <c r="AG97" s="223">
        <v>709.30555555555554</v>
      </c>
      <c r="AH97" s="224">
        <v>709.30555555555554</v>
      </c>
      <c r="AI97" s="304"/>
      <c r="AJ97" s="304"/>
      <c r="AK97" s="304"/>
    </row>
    <row r="98" spans="13:37">
      <c r="M98" s="214" t="s">
        <v>385</v>
      </c>
      <c r="N98" s="215" t="s">
        <v>455</v>
      </c>
      <c r="O98" s="215" t="s">
        <v>456</v>
      </c>
      <c r="P98" s="215" t="s">
        <v>612</v>
      </c>
      <c r="Q98" s="216" t="s">
        <v>457</v>
      </c>
      <c r="R98" s="222">
        <v>584.02777777777771</v>
      </c>
      <c r="S98" s="223">
        <v>737.5</v>
      </c>
      <c r="T98" s="224">
        <v>737.5</v>
      </c>
      <c r="U98" s="304"/>
      <c r="V98" s="304"/>
      <c r="W98" s="304"/>
      <c r="AA98" s="214" t="s">
        <v>385</v>
      </c>
      <c r="AB98" s="215" t="s">
        <v>455</v>
      </c>
      <c r="AC98" s="215" t="s">
        <v>456</v>
      </c>
      <c r="AD98" s="215" t="s">
        <v>612</v>
      </c>
      <c r="AE98" s="216" t="s">
        <v>457</v>
      </c>
      <c r="AF98" s="222">
        <v>584.02777777777771</v>
      </c>
      <c r="AG98" s="223">
        <v>737.5</v>
      </c>
      <c r="AH98" s="224">
        <v>737.5</v>
      </c>
      <c r="AI98" s="304"/>
      <c r="AJ98" s="304"/>
      <c r="AK98" s="304"/>
    </row>
    <row r="99" spans="13:37">
      <c r="M99" s="214" t="s">
        <v>385</v>
      </c>
      <c r="N99" s="215" t="s">
        <v>458</v>
      </c>
      <c r="O99" s="215" t="s">
        <v>459</v>
      </c>
      <c r="P99" s="215" t="s">
        <v>613</v>
      </c>
      <c r="Q99" s="216" t="s">
        <v>460</v>
      </c>
      <c r="R99" s="222">
        <v>388.88888888888886</v>
      </c>
      <c r="S99" s="223">
        <v>512.5</v>
      </c>
      <c r="T99" s="224">
        <v>512.5</v>
      </c>
      <c r="U99" s="304"/>
      <c r="V99" s="304"/>
      <c r="W99" s="304"/>
      <c r="AA99" s="214" t="s">
        <v>385</v>
      </c>
      <c r="AB99" s="215" t="s">
        <v>458</v>
      </c>
      <c r="AC99" s="215" t="s">
        <v>459</v>
      </c>
      <c r="AD99" s="215" t="s">
        <v>613</v>
      </c>
      <c r="AE99" s="216" t="s">
        <v>460</v>
      </c>
      <c r="AF99" s="222">
        <v>388.88888888888886</v>
      </c>
      <c r="AG99" s="223">
        <v>512.5</v>
      </c>
      <c r="AH99" s="224">
        <v>512.5</v>
      </c>
      <c r="AI99" s="304"/>
      <c r="AJ99" s="304"/>
      <c r="AK99" s="304"/>
    </row>
    <row r="100" spans="13:37">
      <c r="M100" s="214" t="s">
        <v>385</v>
      </c>
      <c r="N100" s="215" t="s">
        <v>502</v>
      </c>
      <c r="O100" s="215" t="s">
        <v>503</v>
      </c>
      <c r="P100" s="215" t="s">
        <v>614</v>
      </c>
      <c r="Q100" s="216" t="s">
        <v>460</v>
      </c>
      <c r="R100" s="222">
        <v>375</v>
      </c>
      <c r="S100" s="223">
        <v>401.38888888888886</v>
      </c>
      <c r="T100" s="224">
        <v>401.38888888888886</v>
      </c>
      <c r="U100" s="304"/>
      <c r="V100" s="304"/>
      <c r="W100" s="304"/>
      <c r="AA100" s="214" t="s">
        <v>385</v>
      </c>
      <c r="AB100" s="215" t="s">
        <v>502</v>
      </c>
      <c r="AC100" s="215" t="s">
        <v>503</v>
      </c>
      <c r="AD100" s="215" t="s">
        <v>614</v>
      </c>
      <c r="AE100" s="216" t="s">
        <v>460</v>
      </c>
      <c r="AF100" s="222">
        <v>375</v>
      </c>
      <c r="AG100" s="223">
        <v>401.38888888888886</v>
      </c>
      <c r="AH100" s="224">
        <v>401.38888888888886</v>
      </c>
      <c r="AI100" s="304"/>
      <c r="AJ100" s="304"/>
      <c r="AK100" s="304"/>
    </row>
    <row r="101" spans="13:37">
      <c r="M101" s="214" t="s">
        <v>385</v>
      </c>
      <c r="N101" s="215" t="s">
        <v>541</v>
      </c>
      <c r="O101" s="215" t="s">
        <v>542</v>
      </c>
      <c r="P101" s="215" t="s">
        <v>615</v>
      </c>
      <c r="Q101" s="216" t="s">
        <v>460</v>
      </c>
      <c r="R101" s="222">
        <v>437.5</v>
      </c>
      <c r="S101" s="223">
        <v>666.66666666666663</v>
      </c>
      <c r="T101" s="224">
        <v>666.66666666666663</v>
      </c>
      <c r="U101" s="304"/>
      <c r="V101" s="304"/>
      <c r="W101" s="304"/>
      <c r="AA101" s="214" t="s">
        <v>385</v>
      </c>
      <c r="AB101" s="215" t="s">
        <v>541</v>
      </c>
      <c r="AC101" s="215" t="s">
        <v>542</v>
      </c>
      <c r="AD101" s="215" t="s">
        <v>615</v>
      </c>
      <c r="AE101" s="216" t="s">
        <v>460</v>
      </c>
      <c r="AF101" s="222">
        <v>437.5</v>
      </c>
      <c r="AG101" s="223">
        <v>666.66666666666663</v>
      </c>
      <c r="AH101" s="224">
        <v>666.66666666666663</v>
      </c>
      <c r="AI101" s="304"/>
      <c r="AJ101" s="304"/>
      <c r="AK101" s="304"/>
    </row>
    <row r="102" spans="13:37" ht="15.75" thickBot="1">
      <c r="M102" s="195" t="s">
        <v>385</v>
      </c>
      <c r="N102" s="196" t="s">
        <v>399</v>
      </c>
      <c r="O102" s="196" t="s">
        <v>543</v>
      </c>
      <c r="P102" s="196" t="s">
        <v>586</v>
      </c>
      <c r="Q102" s="325" t="s">
        <v>369</v>
      </c>
      <c r="R102" s="326">
        <v>118.75</v>
      </c>
      <c r="S102" s="197">
        <v>112.5</v>
      </c>
      <c r="T102" s="198">
        <v>112.5</v>
      </c>
      <c r="U102" s="304"/>
      <c r="V102" s="304"/>
      <c r="W102" s="304"/>
      <c r="AA102" s="195" t="s">
        <v>385</v>
      </c>
      <c r="AB102" s="196" t="s">
        <v>399</v>
      </c>
      <c r="AC102" s="196" t="s">
        <v>543</v>
      </c>
      <c r="AD102" s="196" t="s">
        <v>586</v>
      </c>
      <c r="AE102" s="325" t="s">
        <v>369</v>
      </c>
      <c r="AF102" s="326">
        <v>118.75</v>
      </c>
      <c r="AG102" s="197">
        <v>112.5</v>
      </c>
      <c r="AH102" s="198">
        <v>112.5</v>
      </c>
      <c r="AI102" s="304"/>
      <c r="AJ102" s="304"/>
      <c r="AK102" s="304"/>
    </row>
    <row r="103" spans="13:37"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AA103" s="324"/>
      <c r="AB103" s="324"/>
      <c r="AC103" s="324"/>
      <c r="AD103" s="324"/>
      <c r="AE103" s="324"/>
      <c r="AF103" s="324"/>
      <c r="AG103" s="324"/>
      <c r="AH103" s="324"/>
      <c r="AI103" s="324"/>
      <c r="AJ103" s="324"/>
      <c r="AK103" s="324"/>
    </row>
    <row r="104" spans="13:37">
      <c r="M104" s="327" t="s">
        <v>616</v>
      </c>
      <c r="N104" s="328" t="s">
        <v>617</v>
      </c>
      <c r="O104" s="324"/>
      <c r="P104" s="324"/>
      <c r="Q104" s="324"/>
      <c r="R104" s="324"/>
      <c r="S104" s="324"/>
      <c r="T104" s="324"/>
      <c r="U104" s="324"/>
      <c r="V104" s="324"/>
      <c r="W104" s="324"/>
      <c r="AA104" s="327" t="s">
        <v>616</v>
      </c>
      <c r="AB104" s="328" t="s">
        <v>617</v>
      </c>
      <c r="AC104" s="324"/>
      <c r="AD104" s="324"/>
      <c r="AE104" s="324"/>
      <c r="AF104" s="324"/>
      <c r="AG104" s="324"/>
      <c r="AH104" s="324"/>
      <c r="AI104" s="324"/>
      <c r="AJ104" s="324"/>
      <c r="AK104" s="324"/>
    </row>
    <row r="105" spans="13:37">
      <c r="M105" s="324"/>
      <c r="N105" s="328" t="s">
        <v>618</v>
      </c>
      <c r="O105" s="324"/>
      <c r="P105" s="324"/>
      <c r="Q105" s="324"/>
      <c r="R105" s="324"/>
      <c r="S105" s="324"/>
      <c r="T105" s="324"/>
      <c r="U105" s="324"/>
      <c r="V105" s="324"/>
      <c r="W105" s="324"/>
      <c r="AA105" s="324"/>
      <c r="AB105" s="328" t="s">
        <v>618</v>
      </c>
      <c r="AC105" s="324"/>
      <c r="AD105" s="324"/>
      <c r="AE105" s="324"/>
      <c r="AF105" s="324"/>
      <c r="AG105" s="324"/>
      <c r="AH105" s="324"/>
      <c r="AI105" s="324"/>
      <c r="AJ105" s="324"/>
      <c r="AK105" s="324"/>
    </row>
    <row r="106" spans="13:37">
      <c r="AA106" s="324"/>
      <c r="AB106" s="328" t="s">
        <v>619</v>
      </c>
      <c r="AC106" s="324"/>
      <c r="AD106" s="324"/>
      <c r="AE106" s="324"/>
      <c r="AF106" s="324"/>
      <c r="AG106" s="324"/>
      <c r="AH106" s="324"/>
      <c r="AI106" s="324"/>
      <c r="AJ106" s="324"/>
      <c r="AK106" s="324"/>
    </row>
    <row r="107" spans="13:37">
      <c r="AA107" s="324"/>
      <c r="AB107" s="324"/>
      <c r="AC107" s="324"/>
      <c r="AD107" s="324"/>
      <c r="AE107" s="324"/>
      <c r="AF107" s="324"/>
      <c r="AG107" s="324"/>
      <c r="AH107" s="324"/>
      <c r="AI107" s="324"/>
      <c r="AJ107" s="324"/>
      <c r="AK107" s="324"/>
    </row>
    <row r="159" spans="44:60">
      <c r="BH159" s="1"/>
    </row>
    <row r="160" spans="44:60">
      <c r="AR160" s="66"/>
      <c r="AS160" s="66"/>
      <c r="AT160" s="1"/>
      <c r="AU160" s="1"/>
      <c r="AV160" s="1"/>
      <c r="AW160" s="1"/>
      <c r="AX160" s="118"/>
      <c r="BB160" s="66"/>
      <c r="BC160" s="66"/>
      <c r="BD160" s="66"/>
      <c r="BE160" s="66"/>
      <c r="BF160" s="1"/>
      <c r="BG160" s="1"/>
    </row>
  </sheetData>
  <mergeCells count="30">
    <mergeCell ref="AA52:AA53"/>
    <mergeCell ref="AB52:AB53"/>
    <mergeCell ref="AC52:AC53"/>
    <mergeCell ref="AD52:AD53"/>
    <mergeCell ref="AE52:AE53"/>
    <mergeCell ref="AF52:AH52"/>
    <mergeCell ref="M52:M53"/>
    <mergeCell ref="N52:N53"/>
    <mergeCell ref="O52:O53"/>
    <mergeCell ref="P52:P53"/>
    <mergeCell ref="Q52:Q53"/>
    <mergeCell ref="R52:T52"/>
    <mergeCell ref="AC4:AC5"/>
    <mergeCell ref="AD4:AD5"/>
    <mergeCell ref="AA4:AA5"/>
    <mergeCell ref="AB4:AB5"/>
    <mergeCell ref="AA1:AK2"/>
    <mergeCell ref="AF3:AK3"/>
    <mergeCell ref="AE4:AE5"/>
    <mergeCell ref="AF4:AH4"/>
    <mergeCell ref="AI4:AK4"/>
    <mergeCell ref="P4:P5"/>
    <mergeCell ref="M4:M5"/>
    <mergeCell ref="N4:N5"/>
    <mergeCell ref="O4:O5"/>
    <mergeCell ref="M1:W2"/>
    <mergeCell ref="R3:W3"/>
    <mergeCell ref="Q4:Q5"/>
    <mergeCell ref="R4:T4"/>
    <mergeCell ref="U4:W4"/>
  </mergeCells>
  <dataValidations count="1">
    <dataValidation type="textLength" operator="lessThanOrEqual" allowBlank="1" showInputMessage="1" showErrorMessage="1" errorTitle="TICONTRACT" error="Le texte est trop long" sqref="A4:A6" xr:uid="{488558D3-09BE-4517-8B09-FAF32460C7CB}">
      <formula1>150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4FFE-A040-422A-8779-974CA6E90864}">
  <dimension ref="A1:G28"/>
  <sheetViews>
    <sheetView workbookViewId="0">
      <selection activeCell="L11" sqref="L11"/>
    </sheetView>
  </sheetViews>
  <sheetFormatPr defaultRowHeight="15"/>
  <sheetData>
    <row r="1" spans="1:7" ht="30" customHeight="1" thickBot="1">
      <c r="A1" s="171"/>
      <c r="B1" s="171"/>
      <c r="C1" s="171"/>
      <c r="D1" s="257" t="s">
        <v>470</v>
      </c>
      <c r="E1" s="257"/>
      <c r="F1" s="257" t="s">
        <v>471</v>
      </c>
      <c r="G1" s="257"/>
    </row>
    <row r="2" spans="1:7" ht="31.5" thickTop="1" thickBot="1">
      <c r="A2" s="172" t="s">
        <v>472</v>
      </c>
      <c r="B2" s="173" t="s">
        <v>473</v>
      </c>
      <c r="C2" s="174"/>
      <c r="D2" s="258" t="s">
        <v>474</v>
      </c>
      <c r="E2" s="259"/>
      <c r="F2" s="258" t="s">
        <v>475</v>
      </c>
      <c r="G2" s="259"/>
    </row>
    <row r="3" spans="1:7" ht="15.75" thickBot="1">
      <c r="A3" s="175" t="s">
        <v>476</v>
      </c>
      <c r="B3" s="176" t="s">
        <v>477</v>
      </c>
      <c r="C3" s="177"/>
      <c r="D3" s="178" t="s">
        <v>478</v>
      </c>
      <c r="E3" s="178" t="s">
        <v>479</v>
      </c>
      <c r="F3" s="178" t="s">
        <v>478</v>
      </c>
      <c r="G3" s="178" t="s">
        <v>479</v>
      </c>
    </row>
    <row r="4" spans="1:7" ht="30">
      <c r="A4" s="179" t="s">
        <v>480</v>
      </c>
      <c r="B4" s="180" t="s">
        <v>481</v>
      </c>
      <c r="C4" s="181" t="s">
        <v>482</v>
      </c>
      <c r="D4" s="182" t="s">
        <v>483</v>
      </c>
      <c r="E4" s="182" t="s">
        <v>484</v>
      </c>
      <c r="F4" s="182" t="s">
        <v>485</v>
      </c>
      <c r="G4" s="182" t="s">
        <v>484</v>
      </c>
    </row>
    <row r="5" spans="1:7" ht="30">
      <c r="A5" s="183" t="s">
        <v>480</v>
      </c>
      <c r="B5" s="180" t="s">
        <v>481</v>
      </c>
      <c r="C5" s="180" t="s">
        <v>486</v>
      </c>
      <c r="D5" s="184" t="s">
        <v>487</v>
      </c>
      <c r="E5" s="184" t="s">
        <v>488</v>
      </c>
      <c r="F5" s="184" t="s">
        <v>489</v>
      </c>
      <c r="G5" s="184" t="s">
        <v>488</v>
      </c>
    </row>
    <row r="6" spans="1:7" ht="30">
      <c r="A6" s="183" t="s">
        <v>480</v>
      </c>
      <c r="B6" s="180" t="s">
        <v>481</v>
      </c>
      <c r="C6" s="180" t="s">
        <v>490</v>
      </c>
      <c r="D6" s="184" t="s">
        <v>491</v>
      </c>
      <c r="E6" s="184" t="s">
        <v>488</v>
      </c>
      <c r="F6" s="184" t="s">
        <v>492</v>
      </c>
      <c r="G6" s="184" t="s">
        <v>488</v>
      </c>
    </row>
    <row r="7" spans="1:7" ht="30">
      <c r="A7" s="186" t="s">
        <v>480</v>
      </c>
      <c r="B7" s="187" t="s">
        <v>493</v>
      </c>
      <c r="C7" s="188" t="s">
        <v>482</v>
      </c>
      <c r="D7" s="189" t="s">
        <v>483</v>
      </c>
      <c r="E7" s="189" t="s">
        <v>484</v>
      </c>
      <c r="F7" s="189" t="s">
        <v>485</v>
      </c>
      <c r="G7" s="189" t="s">
        <v>484</v>
      </c>
    </row>
    <row r="8" spans="1:7" ht="30">
      <c r="A8" s="190" t="s">
        <v>480</v>
      </c>
      <c r="B8" s="187" t="s">
        <v>493</v>
      </c>
      <c r="C8" s="187" t="s">
        <v>486</v>
      </c>
      <c r="D8" s="189" t="s">
        <v>487</v>
      </c>
      <c r="E8" s="189" t="s">
        <v>488</v>
      </c>
      <c r="F8" s="189" t="s">
        <v>489</v>
      </c>
      <c r="G8" s="189" t="s">
        <v>488</v>
      </c>
    </row>
    <row r="9" spans="1:7" ht="30">
      <c r="A9" s="190" t="s">
        <v>480</v>
      </c>
      <c r="B9" s="187" t="s">
        <v>493</v>
      </c>
      <c r="C9" s="187" t="s">
        <v>490</v>
      </c>
      <c r="D9" s="189" t="s">
        <v>491</v>
      </c>
      <c r="E9" s="189" t="s">
        <v>488</v>
      </c>
      <c r="F9" s="189" t="s">
        <v>492</v>
      </c>
      <c r="G9" s="189" t="s">
        <v>488</v>
      </c>
    </row>
    <row r="10" spans="1:7" ht="30">
      <c r="A10" s="183" t="s">
        <v>494</v>
      </c>
      <c r="B10" s="180" t="s">
        <v>481</v>
      </c>
      <c r="C10" s="180" t="s">
        <v>482</v>
      </c>
      <c r="D10" s="184" t="s">
        <v>483</v>
      </c>
      <c r="E10" s="184" t="s">
        <v>495</v>
      </c>
      <c r="F10" s="184" t="s">
        <v>485</v>
      </c>
      <c r="G10" s="184" t="s">
        <v>495</v>
      </c>
    </row>
    <row r="11" spans="1:7" ht="30">
      <c r="A11" s="183" t="s">
        <v>494</v>
      </c>
      <c r="B11" s="180" t="s">
        <v>481</v>
      </c>
      <c r="C11" s="180" t="s">
        <v>486</v>
      </c>
      <c r="D11" s="184" t="s">
        <v>487</v>
      </c>
      <c r="E11" s="184" t="s">
        <v>495</v>
      </c>
      <c r="F11" s="184" t="s">
        <v>489</v>
      </c>
      <c r="G11" s="184" t="s">
        <v>495</v>
      </c>
    </row>
    <row r="12" spans="1:7" ht="30">
      <c r="A12" s="183" t="s">
        <v>494</v>
      </c>
      <c r="B12" s="180" t="s">
        <v>481</v>
      </c>
      <c r="C12" s="180" t="s">
        <v>490</v>
      </c>
      <c r="D12" s="184" t="s">
        <v>491</v>
      </c>
      <c r="E12" s="184" t="s">
        <v>495</v>
      </c>
      <c r="F12" s="184" t="s">
        <v>492</v>
      </c>
      <c r="G12" s="184" t="s">
        <v>495</v>
      </c>
    </row>
    <row r="13" spans="1:7" ht="30">
      <c r="A13" s="183" t="s">
        <v>494</v>
      </c>
      <c r="B13" s="180" t="s">
        <v>493</v>
      </c>
      <c r="C13" s="180" t="s">
        <v>482</v>
      </c>
      <c r="D13" s="184" t="s">
        <v>483</v>
      </c>
      <c r="E13" s="184" t="s">
        <v>495</v>
      </c>
      <c r="F13" s="184" t="s">
        <v>485</v>
      </c>
      <c r="G13" s="184" t="s">
        <v>495</v>
      </c>
    </row>
    <row r="14" spans="1:7" ht="30">
      <c r="A14" s="183" t="s">
        <v>494</v>
      </c>
      <c r="B14" s="180" t="s">
        <v>493</v>
      </c>
      <c r="C14" s="180" t="s">
        <v>486</v>
      </c>
      <c r="D14" s="184" t="s">
        <v>487</v>
      </c>
      <c r="E14" s="184" t="s">
        <v>495</v>
      </c>
      <c r="F14" s="184" t="s">
        <v>489</v>
      </c>
      <c r="G14" s="184" t="s">
        <v>495</v>
      </c>
    </row>
    <row r="15" spans="1:7" ht="30">
      <c r="A15" s="183" t="s">
        <v>494</v>
      </c>
      <c r="B15" s="180" t="s">
        <v>493</v>
      </c>
      <c r="C15" s="180" t="s">
        <v>490</v>
      </c>
      <c r="D15" s="184" t="s">
        <v>491</v>
      </c>
      <c r="E15" s="184" t="s">
        <v>495</v>
      </c>
      <c r="F15" s="184" t="s">
        <v>492</v>
      </c>
      <c r="G15" s="184" t="s">
        <v>495</v>
      </c>
    </row>
    <row r="16" spans="1:7" ht="30">
      <c r="A16" s="183" t="s">
        <v>481</v>
      </c>
      <c r="B16" s="180" t="s">
        <v>480</v>
      </c>
      <c r="C16" s="180" t="s">
        <v>482</v>
      </c>
      <c r="D16" s="184" t="s">
        <v>483</v>
      </c>
      <c r="E16" s="184" t="s">
        <v>484</v>
      </c>
      <c r="F16" s="184" t="s">
        <v>485</v>
      </c>
      <c r="G16" s="184" t="s">
        <v>484</v>
      </c>
    </row>
    <row r="17" spans="1:7" ht="30">
      <c r="A17" s="183" t="s">
        <v>481</v>
      </c>
      <c r="B17" s="180" t="s">
        <v>480</v>
      </c>
      <c r="C17" s="180" t="s">
        <v>486</v>
      </c>
      <c r="D17" s="184" t="s">
        <v>496</v>
      </c>
      <c r="E17" s="184" t="s">
        <v>495</v>
      </c>
      <c r="F17" s="184" t="s">
        <v>497</v>
      </c>
      <c r="G17" s="184" t="s">
        <v>495</v>
      </c>
    </row>
    <row r="18" spans="1:7" ht="30">
      <c r="A18" s="183" t="s">
        <v>481</v>
      </c>
      <c r="B18" s="180" t="s">
        <v>480</v>
      </c>
      <c r="C18" s="180" t="s">
        <v>490</v>
      </c>
      <c r="D18" s="184" t="s">
        <v>498</v>
      </c>
      <c r="E18" s="184" t="s">
        <v>495</v>
      </c>
      <c r="F18" s="184" t="s">
        <v>499</v>
      </c>
      <c r="G18" s="184" t="s">
        <v>495</v>
      </c>
    </row>
    <row r="19" spans="1:7" ht="30">
      <c r="A19" s="183" t="s">
        <v>481</v>
      </c>
      <c r="B19" s="180" t="s">
        <v>494</v>
      </c>
      <c r="C19" s="180" t="s">
        <v>482</v>
      </c>
      <c r="D19" s="184" t="s">
        <v>483</v>
      </c>
      <c r="E19" s="184" t="s">
        <v>484</v>
      </c>
      <c r="F19" s="184" t="s">
        <v>485</v>
      </c>
      <c r="G19" s="184" t="s">
        <v>484</v>
      </c>
    </row>
    <row r="20" spans="1:7" ht="30">
      <c r="A20" s="183" t="s">
        <v>481</v>
      </c>
      <c r="B20" s="180" t="s">
        <v>494</v>
      </c>
      <c r="C20" s="180" t="s">
        <v>486</v>
      </c>
      <c r="D20" s="184" t="s">
        <v>496</v>
      </c>
      <c r="E20" s="184" t="s">
        <v>495</v>
      </c>
      <c r="F20" s="184" t="s">
        <v>497</v>
      </c>
      <c r="G20" s="184" t="s">
        <v>495</v>
      </c>
    </row>
    <row r="21" spans="1:7" ht="30">
      <c r="A21" s="183" t="s">
        <v>481</v>
      </c>
      <c r="B21" s="180" t="s">
        <v>494</v>
      </c>
      <c r="C21" s="180" t="s">
        <v>490</v>
      </c>
      <c r="D21" s="184" t="s">
        <v>498</v>
      </c>
      <c r="E21" s="184" t="s">
        <v>495</v>
      </c>
      <c r="F21" s="184" t="s">
        <v>499</v>
      </c>
      <c r="G21" s="184" t="s">
        <v>495</v>
      </c>
    </row>
    <row r="22" spans="1:7" ht="30">
      <c r="A22" s="183" t="s">
        <v>493</v>
      </c>
      <c r="B22" s="180" t="s">
        <v>480</v>
      </c>
      <c r="C22" s="180" t="s">
        <v>482</v>
      </c>
      <c r="D22" s="184" t="s">
        <v>483</v>
      </c>
      <c r="E22" s="184" t="s">
        <v>484</v>
      </c>
      <c r="F22" s="184" t="s">
        <v>485</v>
      </c>
      <c r="G22" s="184" t="s">
        <v>484</v>
      </c>
    </row>
    <row r="23" spans="1:7" ht="30">
      <c r="A23" s="183" t="s">
        <v>493</v>
      </c>
      <c r="B23" s="180" t="s">
        <v>480</v>
      </c>
      <c r="C23" s="180" t="s">
        <v>486</v>
      </c>
      <c r="D23" s="184" t="s">
        <v>496</v>
      </c>
      <c r="E23" s="184" t="s">
        <v>495</v>
      </c>
      <c r="F23" s="184" t="s">
        <v>497</v>
      </c>
      <c r="G23" s="184" t="s">
        <v>495</v>
      </c>
    </row>
    <row r="24" spans="1:7" ht="30">
      <c r="A24" s="183" t="s">
        <v>493</v>
      </c>
      <c r="B24" s="180" t="s">
        <v>480</v>
      </c>
      <c r="C24" s="180" t="s">
        <v>490</v>
      </c>
      <c r="D24" s="184" t="s">
        <v>498</v>
      </c>
      <c r="E24" s="184" t="s">
        <v>495</v>
      </c>
      <c r="F24" s="184" t="s">
        <v>499</v>
      </c>
      <c r="G24" s="184" t="s">
        <v>495</v>
      </c>
    </row>
    <row r="25" spans="1:7" ht="30">
      <c r="A25" s="183" t="s">
        <v>493</v>
      </c>
      <c r="B25" s="180" t="s">
        <v>494</v>
      </c>
      <c r="C25" s="180" t="s">
        <v>482</v>
      </c>
      <c r="D25" s="184" t="s">
        <v>483</v>
      </c>
      <c r="E25" s="184" t="s">
        <v>484</v>
      </c>
      <c r="F25" s="184" t="s">
        <v>485</v>
      </c>
      <c r="G25" s="184" t="s">
        <v>484</v>
      </c>
    </row>
    <row r="26" spans="1:7" ht="30">
      <c r="A26" s="183" t="s">
        <v>493</v>
      </c>
      <c r="B26" s="180" t="s">
        <v>494</v>
      </c>
      <c r="C26" s="180" t="s">
        <v>486</v>
      </c>
      <c r="D26" s="184" t="s">
        <v>496</v>
      </c>
      <c r="E26" s="184" t="s">
        <v>495</v>
      </c>
      <c r="F26" s="184" t="s">
        <v>497</v>
      </c>
      <c r="G26" s="184" t="s">
        <v>495</v>
      </c>
    </row>
    <row r="27" spans="1:7" ht="30">
      <c r="A27" s="183" t="s">
        <v>493</v>
      </c>
      <c r="B27" s="180" t="s">
        <v>494</v>
      </c>
      <c r="C27" s="180" t="s">
        <v>490</v>
      </c>
      <c r="D27" s="184" t="s">
        <v>498</v>
      </c>
      <c r="E27" s="184" t="s">
        <v>495</v>
      </c>
      <c r="F27" s="184" t="s">
        <v>499</v>
      </c>
      <c r="G27" s="184" t="s">
        <v>495</v>
      </c>
    </row>
    <row r="28" spans="1:7" ht="45">
      <c r="A28" s="185" t="s">
        <v>500</v>
      </c>
    </row>
  </sheetData>
  <mergeCells count="4">
    <mergeCell ref="D1:E1"/>
    <mergeCell ref="F1:G1"/>
    <mergeCell ref="D2:E2"/>
    <mergeCell ref="F2:G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98D9-0FA8-4F39-AD72-82C726445278}">
  <dimension ref="A1:O120"/>
  <sheetViews>
    <sheetView workbookViewId="0">
      <selection activeCell="O16" sqref="O16"/>
    </sheetView>
  </sheetViews>
  <sheetFormatPr defaultRowHeight="15"/>
  <cols>
    <col min="1" max="1" width="20.42578125" bestFit="1" customWidth="1"/>
    <col min="2" max="2" width="13.7109375" bestFit="1" customWidth="1"/>
    <col min="3" max="3" width="20.28515625" customWidth="1"/>
  </cols>
  <sheetData>
    <row r="1" spans="1:15" ht="30.75" thickBot="1">
      <c r="C1" s="119" t="s">
        <v>28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15" ht="30.75" thickBot="1">
      <c r="A2" s="1" t="s">
        <v>29</v>
      </c>
      <c r="B2" s="1" t="s">
        <v>30</v>
      </c>
      <c r="C2" s="260" t="s">
        <v>32</v>
      </c>
      <c r="D2" s="261"/>
      <c r="E2" s="261"/>
      <c r="F2" s="261"/>
      <c r="G2" s="261"/>
      <c r="H2" s="262"/>
      <c r="I2" s="121" t="s">
        <v>33</v>
      </c>
      <c r="J2" s="120"/>
      <c r="K2" s="120"/>
      <c r="L2" s="120"/>
    </row>
    <row r="3" spans="1:15" ht="15.75" thickBot="1">
      <c r="A3" s="11" t="s">
        <v>34</v>
      </c>
      <c r="B3" s="12" t="s">
        <v>35</v>
      </c>
      <c r="C3" s="13" t="s">
        <v>36</v>
      </c>
      <c r="D3" s="14" t="s">
        <v>37</v>
      </c>
      <c r="E3" s="14" t="s">
        <v>38</v>
      </c>
      <c r="F3" s="14" t="s">
        <v>39</v>
      </c>
      <c r="G3" s="14" t="s">
        <v>40</v>
      </c>
      <c r="H3" s="15" t="s">
        <v>41</v>
      </c>
      <c r="I3" s="16" t="s">
        <v>36</v>
      </c>
      <c r="J3" s="14" t="s">
        <v>37</v>
      </c>
      <c r="K3" s="14" t="s">
        <v>38</v>
      </c>
      <c r="L3" s="14" t="s">
        <v>39</v>
      </c>
    </row>
    <row r="4" spans="1:15">
      <c r="A4" s="17" t="s">
        <v>42</v>
      </c>
      <c r="B4" s="18"/>
      <c r="C4" s="19"/>
      <c r="D4" s="20"/>
      <c r="E4" s="20"/>
      <c r="F4" s="20"/>
      <c r="G4" s="20"/>
      <c r="H4" s="21"/>
      <c r="I4" s="20"/>
      <c r="J4" s="20"/>
      <c r="K4" s="20"/>
      <c r="L4" s="20"/>
    </row>
    <row r="5" spans="1:15">
      <c r="A5" s="22" t="s">
        <v>43</v>
      </c>
      <c r="B5" s="18" t="s">
        <v>44</v>
      </c>
      <c r="C5" s="23">
        <v>150</v>
      </c>
      <c r="D5" s="24">
        <v>250</v>
      </c>
      <c r="E5" s="24">
        <v>250</v>
      </c>
      <c r="F5" s="24">
        <v>300</v>
      </c>
      <c r="G5" s="24">
        <v>150</v>
      </c>
      <c r="H5" s="25">
        <v>250</v>
      </c>
      <c r="I5" s="24">
        <v>200</v>
      </c>
      <c r="J5" s="24">
        <v>350</v>
      </c>
      <c r="K5" s="24">
        <v>350</v>
      </c>
      <c r="L5" s="24">
        <v>400</v>
      </c>
    </row>
    <row r="6" spans="1:15">
      <c r="A6" s="22" t="s">
        <v>45</v>
      </c>
      <c r="B6" s="18" t="s">
        <v>46</v>
      </c>
      <c r="C6" s="23">
        <v>150</v>
      </c>
      <c r="D6" s="24">
        <v>250</v>
      </c>
      <c r="E6" s="24">
        <v>250</v>
      </c>
      <c r="F6" s="24">
        <v>300</v>
      </c>
      <c r="G6" s="24">
        <v>150</v>
      </c>
      <c r="H6" s="25">
        <v>250</v>
      </c>
      <c r="I6" s="24">
        <v>200</v>
      </c>
      <c r="J6" s="24">
        <v>350</v>
      </c>
      <c r="K6" s="24">
        <v>350</v>
      </c>
      <c r="L6" s="24">
        <v>400</v>
      </c>
    </row>
    <row r="7" spans="1:15" ht="15.75">
      <c r="A7" s="22"/>
      <c r="B7" s="18"/>
      <c r="C7" s="26"/>
      <c r="D7" s="27"/>
      <c r="E7" s="27"/>
      <c r="F7" s="27"/>
      <c r="G7" s="27"/>
      <c r="H7" s="28"/>
      <c r="I7" s="27"/>
      <c r="J7" s="27"/>
      <c r="K7" s="27"/>
      <c r="L7" s="27"/>
      <c r="N7" s="165" t="s">
        <v>467</v>
      </c>
    </row>
    <row r="8" spans="1:15">
      <c r="A8" s="17" t="s">
        <v>47</v>
      </c>
      <c r="B8" s="18" t="s">
        <v>48</v>
      </c>
      <c r="C8" s="29">
        <v>100</v>
      </c>
      <c r="D8" s="30">
        <v>200</v>
      </c>
      <c r="E8" s="30">
        <v>200</v>
      </c>
      <c r="F8" s="30">
        <v>250</v>
      </c>
      <c r="G8" s="30">
        <v>100</v>
      </c>
      <c r="H8" s="31">
        <v>200</v>
      </c>
      <c r="I8" s="30">
        <v>150</v>
      </c>
      <c r="J8" s="30">
        <v>300</v>
      </c>
      <c r="K8" s="30">
        <v>300</v>
      </c>
      <c r="L8" s="30">
        <v>350</v>
      </c>
    </row>
    <row r="9" spans="1:15">
      <c r="A9" s="22"/>
      <c r="B9" s="18"/>
      <c r="C9" s="26"/>
      <c r="D9" s="27"/>
      <c r="E9" s="27"/>
      <c r="F9" s="27"/>
      <c r="G9" s="27"/>
      <c r="H9" s="28"/>
      <c r="I9" s="27"/>
      <c r="J9" s="27"/>
      <c r="K9" s="27"/>
      <c r="L9" s="27"/>
      <c r="N9" t="s">
        <v>351</v>
      </c>
      <c r="O9" t="s">
        <v>350</v>
      </c>
    </row>
    <row r="10" spans="1:15">
      <c r="A10" s="17" t="s">
        <v>49</v>
      </c>
      <c r="B10" s="18"/>
      <c r="C10" s="26"/>
      <c r="D10" s="27"/>
      <c r="E10" s="27"/>
      <c r="F10" s="27"/>
      <c r="G10" s="27"/>
      <c r="H10" s="28"/>
      <c r="I10" s="27"/>
      <c r="J10" s="27"/>
      <c r="K10" s="27"/>
      <c r="L10" s="27"/>
    </row>
    <row r="11" spans="1:15">
      <c r="A11" s="22" t="s">
        <v>50</v>
      </c>
      <c r="B11" s="18" t="s">
        <v>51</v>
      </c>
      <c r="C11" s="23">
        <v>150</v>
      </c>
      <c r="D11" s="24">
        <v>250</v>
      </c>
      <c r="E11" s="24">
        <v>250</v>
      </c>
      <c r="F11" s="24">
        <v>300</v>
      </c>
      <c r="G11" s="24">
        <v>150</v>
      </c>
      <c r="H11" s="25">
        <v>250</v>
      </c>
      <c r="I11" s="24">
        <v>200</v>
      </c>
      <c r="J11" s="24">
        <v>350</v>
      </c>
      <c r="K11" s="24">
        <v>350</v>
      </c>
      <c r="L11" s="24">
        <v>400</v>
      </c>
    </row>
    <row r="12" spans="1:15">
      <c r="A12" s="22" t="s">
        <v>52</v>
      </c>
      <c r="B12" s="18" t="s">
        <v>53</v>
      </c>
      <c r="C12" s="23">
        <v>150</v>
      </c>
      <c r="D12" s="24">
        <v>250</v>
      </c>
      <c r="E12" s="24">
        <v>250</v>
      </c>
      <c r="F12" s="24">
        <v>300</v>
      </c>
      <c r="G12" s="24">
        <v>150</v>
      </c>
      <c r="H12" s="25">
        <v>250</v>
      </c>
      <c r="I12" s="24">
        <v>200</v>
      </c>
      <c r="J12" s="24">
        <v>350</v>
      </c>
      <c r="K12" s="24">
        <v>350</v>
      </c>
      <c r="L12" s="24">
        <v>400</v>
      </c>
    </row>
    <row r="13" spans="1:15">
      <c r="A13" s="22" t="s">
        <v>54</v>
      </c>
      <c r="B13" s="18" t="s">
        <v>55</v>
      </c>
      <c r="C13" s="23">
        <v>150</v>
      </c>
      <c r="D13" s="24">
        <v>250</v>
      </c>
      <c r="E13" s="24">
        <v>250</v>
      </c>
      <c r="F13" s="24">
        <v>300</v>
      </c>
      <c r="G13" s="24">
        <v>150</v>
      </c>
      <c r="H13" s="25">
        <v>250</v>
      </c>
      <c r="I13" s="24">
        <v>200</v>
      </c>
      <c r="J13" s="24">
        <v>350</v>
      </c>
      <c r="K13" s="24">
        <v>350</v>
      </c>
      <c r="L13" s="24">
        <v>400</v>
      </c>
    </row>
    <row r="14" spans="1:15">
      <c r="A14" s="22" t="s">
        <v>56</v>
      </c>
      <c r="B14" s="18" t="s">
        <v>57</v>
      </c>
      <c r="C14" s="29">
        <v>100</v>
      </c>
      <c r="D14" s="30">
        <v>200</v>
      </c>
      <c r="E14" s="30">
        <v>200</v>
      </c>
      <c r="F14" s="30">
        <v>250</v>
      </c>
      <c r="G14" s="30">
        <v>100</v>
      </c>
      <c r="H14" s="31">
        <v>200</v>
      </c>
      <c r="I14" s="30">
        <v>150</v>
      </c>
      <c r="J14" s="30">
        <v>300</v>
      </c>
      <c r="K14" s="30">
        <v>300</v>
      </c>
      <c r="L14" s="30">
        <v>350</v>
      </c>
    </row>
    <row r="15" spans="1:15">
      <c r="A15" s="22" t="s">
        <v>58</v>
      </c>
      <c r="B15" s="18" t="s">
        <v>59</v>
      </c>
      <c r="C15" s="32">
        <v>350</v>
      </c>
      <c r="D15" s="33">
        <v>500</v>
      </c>
      <c r="E15" s="33">
        <v>500</v>
      </c>
      <c r="F15" s="33">
        <v>550</v>
      </c>
      <c r="G15" s="33">
        <v>300</v>
      </c>
      <c r="H15" s="34">
        <v>500</v>
      </c>
      <c r="I15" s="33">
        <v>400</v>
      </c>
      <c r="J15" s="33">
        <v>600</v>
      </c>
      <c r="K15" s="33">
        <v>600</v>
      </c>
      <c r="L15" s="33">
        <v>550</v>
      </c>
    </row>
    <row r="16" spans="1:15">
      <c r="A16" s="22"/>
      <c r="B16" s="18"/>
      <c r="C16" s="26"/>
      <c r="D16" s="27"/>
      <c r="E16" s="27"/>
      <c r="F16" s="27"/>
      <c r="G16" s="27"/>
      <c r="H16" s="28"/>
      <c r="I16" s="27"/>
      <c r="J16" s="27"/>
      <c r="K16" s="27"/>
      <c r="L16" s="27"/>
    </row>
    <row r="17" spans="1:12">
      <c r="A17" s="17" t="s">
        <v>60</v>
      </c>
      <c r="B17" s="18"/>
      <c r="C17" s="26"/>
      <c r="D17" s="27"/>
      <c r="E17" s="27"/>
      <c r="F17" s="27"/>
      <c r="G17" s="27"/>
      <c r="H17" s="28"/>
      <c r="I17" s="27"/>
      <c r="J17" s="27"/>
      <c r="K17" s="27"/>
      <c r="L17" s="27"/>
    </row>
    <row r="18" spans="1:12">
      <c r="A18" s="22" t="s">
        <v>61</v>
      </c>
      <c r="B18" s="18" t="s">
        <v>62</v>
      </c>
      <c r="C18" s="35">
        <v>75</v>
      </c>
      <c r="D18" s="36">
        <v>150</v>
      </c>
      <c r="E18" s="36">
        <v>150</v>
      </c>
      <c r="F18" s="36">
        <v>200</v>
      </c>
      <c r="G18" s="36">
        <v>75</v>
      </c>
      <c r="H18" s="37">
        <v>150</v>
      </c>
      <c r="I18" s="36">
        <v>125</v>
      </c>
      <c r="J18" s="36">
        <v>250</v>
      </c>
      <c r="K18" s="36">
        <v>250</v>
      </c>
      <c r="L18" s="36">
        <v>300</v>
      </c>
    </row>
    <row r="19" spans="1:12">
      <c r="A19" s="22" t="s">
        <v>63</v>
      </c>
      <c r="B19" s="18" t="s">
        <v>64</v>
      </c>
      <c r="C19" s="35">
        <v>75</v>
      </c>
      <c r="D19" s="36">
        <v>150</v>
      </c>
      <c r="E19" s="36">
        <v>150</v>
      </c>
      <c r="F19" s="36">
        <v>200</v>
      </c>
      <c r="G19" s="36">
        <v>75</v>
      </c>
      <c r="H19" s="37">
        <v>150</v>
      </c>
      <c r="I19" s="36">
        <v>125</v>
      </c>
      <c r="J19" s="36">
        <v>250</v>
      </c>
      <c r="K19" s="36">
        <v>250</v>
      </c>
      <c r="L19" s="36">
        <v>300</v>
      </c>
    </row>
    <row r="20" spans="1:12">
      <c r="A20" s="22" t="s">
        <v>65</v>
      </c>
      <c r="B20" s="18" t="s">
        <v>66</v>
      </c>
      <c r="C20" s="35">
        <v>75</v>
      </c>
      <c r="D20" s="36">
        <v>150</v>
      </c>
      <c r="E20" s="36">
        <v>150</v>
      </c>
      <c r="F20" s="36">
        <v>200</v>
      </c>
      <c r="G20" s="36">
        <v>75</v>
      </c>
      <c r="H20" s="37">
        <v>150</v>
      </c>
      <c r="I20" s="36">
        <v>125</v>
      </c>
      <c r="J20" s="36">
        <v>250</v>
      </c>
      <c r="K20" s="36">
        <v>250</v>
      </c>
      <c r="L20" s="36">
        <v>300</v>
      </c>
    </row>
    <row r="21" spans="1:12">
      <c r="A21" s="22"/>
      <c r="B21" s="18"/>
      <c r="C21" s="26"/>
      <c r="D21" s="27"/>
      <c r="E21" s="27"/>
      <c r="F21" s="27"/>
      <c r="G21" s="27"/>
      <c r="H21" s="28"/>
      <c r="I21" s="27"/>
      <c r="J21" s="27"/>
      <c r="K21" s="27"/>
      <c r="L21" s="27"/>
    </row>
    <row r="22" spans="1:12">
      <c r="A22" s="17" t="s">
        <v>67</v>
      </c>
      <c r="B22" s="18"/>
      <c r="C22" s="26"/>
      <c r="D22" s="27"/>
      <c r="E22" s="27"/>
      <c r="F22" s="27"/>
      <c r="G22" s="27"/>
      <c r="H22" s="28"/>
      <c r="I22" s="27"/>
      <c r="J22" s="27"/>
      <c r="K22" s="27"/>
      <c r="L22" s="27"/>
    </row>
    <row r="23" spans="1:12" ht="30">
      <c r="A23" s="111" t="s">
        <v>68</v>
      </c>
      <c r="B23" s="18" t="s">
        <v>69</v>
      </c>
      <c r="C23" s="35">
        <v>75</v>
      </c>
      <c r="D23" s="36">
        <v>150</v>
      </c>
      <c r="E23" s="36">
        <v>150</v>
      </c>
      <c r="F23" s="36">
        <v>200</v>
      </c>
      <c r="G23" s="36">
        <v>75</v>
      </c>
      <c r="H23" s="37">
        <v>150</v>
      </c>
      <c r="I23" s="36">
        <v>125</v>
      </c>
      <c r="J23" s="36">
        <v>250</v>
      </c>
      <c r="K23" s="36">
        <v>250</v>
      </c>
      <c r="L23" s="36">
        <v>300</v>
      </c>
    </row>
    <row r="24" spans="1:12">
      <c r="A24" s="111"/>
      <c r="B24" s="18" t="s">
        <v>70</v>
      </c>
      <c r="C24" s="35">
        <v>75</v>
      </c>
      <c r="D24" s="36">
        <v>150</v>
      </c>
      <c r="E24" s="36">
        <v>150</v>
      </c>
      <c r="F24" s="36">
        <v>200</v>
      </c>
      <c r="G24" s="36">
        <v>75</v>
      </c>
      <c r="H24" s="37">
        <v>150</v>
      </c>
      <c r="I24" s="36">
        <v>125</v>
      </c>
      <c r="J24" s="36">
        <v>250</v>
      </c>
      <c r="K24" s="36">
        <v>250</v>
      </c>
      <c r="L24" s="36">
        <v>300</v>
      </c>
    </row>
    <row r="25" spans="1:12">
      <c r="A25" s="22" t="s">
        <v>71</v>
      </c>
      <c r="B25" s="18" t="s">
        <v>72</v>
      </c>
      <c r="C25" s="35">
        <v>75</v>
      </c>
      <c r="D25" s="36">
        <v>150</v>
      </c>
      <c r="E25" s="36">
        <v>150</v>
      </c>
      <c r="F25" s="36">
        <v>200</v>
      </c>
      <c r="G25" s="36">
        <v>75</v>
      </c>
      <c r="H25" s="37">
        <v>150</v>
      </c>
      <c r="I25" s="36">
        <v>125</v>
      </c>
      <c r="J25" s="36">
        <v>250</v>
      </c>
      <c r="K25" s="36">
        <v>250</v>
      </c>
      <c r="L25" s="36">
        <v>300</v>
      </c>
    </row>
    <row r="26" spans="1:12">
      <c r="A26" s="22" t="s">
        <v>73</v>
      </c>
      <c r="B26" s="18" t="s">
        <v>74</v>
      </c>
      <c r="C26" s="35">
        <v>75</v>
      </c>
      <c r="D26" s="36">
        <v>150</v>
      </c>
      <c r="E26" s="36">
        <v>150</v>
      </c>
      <c r="F26" s="36">
        <v>200</v>
      </c>
      <c r="G26" s="36">
        <v>75</v>
      </c>
      <c r="H26" s="37">
        <v>150</v>
      </c>
      <c r="I26" s="36">
        <v>125</v>
      </c>
      <c r="J26" s="36">
        <v>250</v>
      </c>
      <c r="K26" s="36">
        <v>250</v>
      </c>
      <c r="L26" s="36">
        <v>300</v>
      </c>
    </row>
    <row r="27" spans="1:12">
      <c r="A27" s="38" t="s">
        <v>75</v>
      </c>
      <c r="B27" s="39" t="s">
        <v>76</v>
      </c>
      <c r="C27" s="35">
        <v>75</v>
      </c>
      <c r="D27" s="36">
        <v>150</v>
      </c>
      <c r="E27" s="36">
        <v>150</v>
      </c>
      <c r="F27" s="36">
        <v>200</v>
      </c>
      <c r="G27" s="36">
        <v>75</v>
      </c>
      <c r="H27" s="37">
        <v>150</v>
      </c>
      <c r="I27" s="36">
        <v>125</v>
      </c>
      <c r="J27" s="36">
        <v>250</v>
      </c>
      <c r="K27" s="36">
        <v>250</v>
      </c>
      <c r="L27" s="36">
        <v>300</v>
      </c>
    </row>
    <row r="28" spans="1:12">
      <c r="A28" s="38" t="s">
        <v>77</v>
      </c>
      <c r="B28" s="39" t="s">
        <v>78</v>
      </c>
      <c r="C28" s="35">
        <v>75</v>
      </c>
      <c r="D28" s="36">
        <v>150</v>
      </c>
      <c r="E28" s="36">
        <v>150</v>
      </c>
      <c r="F28" s="36">
        <v>200</v>
      </c>
      <c r="G28" s="36">
        <v>75</v>
      </c>
      <c r="H28" s="37">
        <v>150</v>
      </c>
      <c r="I28" s="36">
        <v>125</v>
      </c>
      <c r="J28" s="36">
        <v>250</v>
      </c>
      <c r="K28" s="36">
        <v>250</v>
      </c>
      <c r="L28" s="36">
        <v>300</v>
      </c>
    </row>
    <row r="29" spans="1:12">
      <c r="A29" s="38" t="s">
        <v>79</v>
      </c>
      <c r="B29" s="39" t="s">
        <v>80</v>
      </c>
      <c r="C29" s="35">
        <v>75</v>
      </c>
      <c r="D29" s="36">
        <v>150</v>
      </c>
      <c r="E29" s="36">
        <v>150</v>
      </c>
      <c r="F29" s="36">
        <v>200</v>
      </c>
      <c r="G29" s="36">
        <v>75</v>
      </c>
      <c r="H29" s="37">
        <v>150</v>
      </c>
      <c r="I29" s="36">
        <v>125</v>
      </c>
      <c r="J29" s="36">
        <v>250</v>
      </c>
      <c r="K29" s="36">
        <v>250</v>
      </c>
      <c r="L29" s="36">
        <v>300</v>
      </c>
    </row>
    <row r="30" spans="1:12">
      <c r="A30" s="17"/>
      <c r="B30" s="18"/>
      <c r="C30" s="26"/>
      <c r="D30" s="27"/>
      <c r="E30" s="27"/>
      <c r="F30" s="27"/>
      <c r="G30" s="27"/>
      <c r="H30" s="28"/>
      <c r="I30" s="27"/>
      <c r="J30" s="27"/>
      <c r="K30" s="27"/>
      <c r="L30" s="27"/>
    </row>
    <row r="31" spans="1:12">
      <c r="A31" s="17" t="s">
        <v>81</v>
      </c>
      <c r="B31" s="18" t="s">
        <v>82</v>
      </c>
      <c r="C31" s="35">
        <v>75</v>
      </c>
      <c r="D31" s="36">
        <v>150</v>
      </c>
      <c r="E31" s="36">
        <v>150</v>
      </c>
      <c r="F31" s="36">
        <v>200</v>
      </c>
      <c r="G31" s="36">
        <v>75</v>
      </c>
      <c r="H31" s="37">
        <v>150</v>
      </c>
      <c r="I31" s="36">
        <v>125</v>
      </c>
      <c r="J31" s="36">
        <v>250</v>
      </c>
      <c r="K31" s="36">
        <v>250</v>
      </c>
      <c r="L31" s="36">
        <v>300</v>
      </c>
    </row>
    <row r="32" spans="1:12">
      <c r="A32" s="17"/>
      <c r="B32" s="40"/>
      <c r="C32" s="26"/>
      <c r="D32" s="27"/>
      <c r="E32" s="27"/>
      <c r="F32" s="27"/>
      <c r="G32" s="27"/>
      <c r="H32" s="28"/>
      <c r="I32" s="27"/>
      <c r="J32" s="27"/>
      <c r="K32" s="27"/>
      <c r="L32" s="27"/>
    </row>
    <row r="33" spans="1:12">
      <c r="A33" s="17" t="s">
        <v>83</v>
      </c>
      <c r="B33" s="18"/>
      <c r="C33" s="26"/>
      <c r="D33" s="27"/>
      <c r="E33" s="27"/>
      <c r="F33" s="27"/>
      <c r="G33" s="27"/>
      <c r="H33" s="28"/>
      <c r="I33" s="27"/>
      <c r="J33" s="27"/>
      <c r="K33" s="27"/>
      <c r="L33" s="27"/>
    </row>
    <row r="34" spans="1:12">
      <c r="A34" s="41" t="s">
        <v>84</v>
      </c>
      <c r="B34" s="18" t="s">
        <v>85</v>
      </c>
      <c r="C34" s="29">
        <v>100</v>
      </c>
      <c r="D34" s="30">
        <v>200</v>
      </c>
      <c r="E34" s="30">
        <v>200</v>
      </c>
      <c r="F34" s="30">
        <v>250</v>
      </c>
      <c r="G34" s="30">
        <v>100</v>
      </c>
      <c r="H34" s="31">
        <v>200</v>
      </c>
      <c r="I34" s="30">
        <v>150</v>
      </c>
      <c r="J34" s="30">
        <v>300</v>
      </c>
      <c r="K34" s="30">
        <v>300</v>
      </c>
      <c r="L34" s="30">
        <v>350</v>
      </c>
    </row>
    <row r="35" spans="1:12">
      <c r="A35" s="41" t="s">
        <v>86</v>
      </c>
      <c r="B35" s="42" t="s">
        <v>87</v>
      </c>
      <c r="C35" s="29">
        <v>100</v>
      </c>
      <c r="D35" s="30">
        <v>200</v>
      </c>
      <c r="E35" s="30">
        <v>200</v>
      </c>
      <c r="F35" s="30">
        <v>250</v>
      </c>
      <c r="G35" s="30">
        <v>100</v>
      </c>
      <c r="H35" s="31">
        <v>200</v>
      </c>
      <c r="I35" s="30">
        <v>150</v>
      </c>
      <c r="J35" s="30">
        <v>300</v>
      </c>
      <c r="K35" s="30">
        <v>300</v>
      </c>
      <c r="L35" s="30">
        <v>350</v>
      </c>
    </row>
    <row r="36" spans="1:12">
      <c r="A36" s="22" t="s">
        <v>88</v>
      </c>
      <c r="B36" s="18" t="s">
        <v>89</v>
      </c>
      <c r="C36" s="29">
        <v>100</v>
      </c>
      <c r="D36" s="30">
        <v>200</v>
      </c>
      <c r="E36" s="30">
        <v>200</v>
      </c>
      <c r="F36" s="30">
        <v>250</v>
      </c>
      <c r="G36" s="30">
        <v>100</v>
      </c>
      <c r="H36" s="31">
        <v>200</v>
      </c>
      <c r="I36" s="30">
        <v>150</v>
      </c>
      <c r="J36" s="30">
        <v>300</v>
      </c>
      <c r="K36" s="30">
        <v>300</v>
      </c>
      <c r="L36" s="30">
        <v>350</v>
      </c>
    </row>
    <row r="37" spans="1:12">
      <c r="A37" s="22" t="s">
        <v>90</v>
      </c>
      <c r="B37" s="18" t="s">
        <v>91</v>
      </c>
      <c r="C37" s="29">
        <v>100</v>
      </c>
      <c r="D37" s="30">
        <v>200</v>
      </c>
      <c r="E37" s="30">
        <v>200</v>
      </c>
      <c r="F37" s="30">
        <v>250</v>
      </c>
      <c r="G37" s="30">
        <v>100</v>
      </c>
      <c r="H37" s="31">
        <v>200</v>
      </c>
      <c r="I37" s="30">
        <v>150</v>
      </c>
      <c r="J37" s="30">
        <v>300</v>
      </c>
      <c r="K37" s="30">
        <v>300</v>
      </c>
      <c r="L37" s="30">
        <v>350</v>
      </c>
    </row>
    <row r="38" spans="1:12">
      <c r="A38" s="22" t="s">
        <v>92</v>
      </c>
      <c r="B38" s="18" t="s">
        <v>93</v>
      </c>
      <c r="C38" s="23">
        <v>150</v>
      </c>
      <c r="D38" s="24">
        <v>250</v>
      </c>
      <c r="E38" s="24">
        <v>250</v>
      </c>
      <c r="F38" s="24">
        <v>300</v>
      </c>
      <c r="G38" s="24">
        <v>150</v>
      </c>
      <c r="H38" s="25">
        <v>250</v>
      </c>
      <c r="I38" s="24">
        <v>200</v>
      </c>
      <c r="J38" s="24">
        <v>350</v>
      </c>
      <c r="K38" s="24">
        <v>350</v>
      </c>
      <c r="L38" s="24">
        <v>400</v>
      </c>
    </row>
    <row r="39" spans="1:12">
      <c r="A39" s="22" t="s">
        <v>94</v>
      </c>
      <c r="B39" s="18" t="s">
        <v>95</v>
      </c>
      <c r="C39" s="23">
        <v>150</v>
      </c>
      <c r="D39" s="24">
        <v>250</v>
      </c>
      <c r="E39" s="24">
        <v>250</v>
      </c>
      <c r="F39" s="24">
        <v>300</v>
      </c>
      <c r="G39" s="24">
        <v>150</v>
      </c>
      <c r="H39" s="25">
        <v>250</v>
      </c>
      <c r="I39" s="24">
        <v>200</v>
      </c>
      <c r="J39" s="24">
        <v>350</v>
      </c>
      <c r="K39" s="24">
        <v>350</v>
      </c>
      <c r="L39" s="24">
        <v>400</v>
      </c>
    </row>
    <row r="40" spans="1:12">
      <c r="A40" s="43"/>
      <c r="B40" s="18"/>
      <c r="C40" s="26"/>
      <c r="D40" s="27"/>
      <c r="E40" s="27"/>
      <c r="F40" s="27"/>
      <c r="G40" s="27"/>
      <c r="H40" s="28"/>
      <c r="I40" s="27"/>
      <c r="J40" s="27"/>
      <c r="K40" s="27"/>
      <c r="L40" s="27"/>
    </row>
    <row r="41" spans="1:12">
      <c r="A41" s="17" t="s">
        <v>96</v>
      </c>
      <c r="B41" s="18"/>
      <c r="C41" s="26"/>
      <c r="D41" s="27"/>
      <c r="E41" s="27"/>
      <c r="F41" s="27"/>
      <c r="G41" s="27"/>
      <c r="H41" s="28"/>
      <c r="I41" s="27"/>
      <c r="J41" s="27"/>
      <c r="K41" s="27"/>
      <c r="L41" s="27"/>
    </row>
    <row r="42" spans="1:12">
      <c r="A42" s="43" t="s">
        <v>97</v>
      </c>
      <c r="B42" s="18" t="s">
        <v>98</v>
      </c>
      <c r="C42" s="23">
        <v>150</v>
      </c>
      <c r="D42" s="24">
        <v>250</v>
      </c>
      <c r="E42" s="24">
        <v>250</v>
      </c>
      <c r="F42" s="24">
        <v>300</v>
      </c>
      <c r="G42" s="24">
        <v>150</v>
      </c>
      <c r="H42" s="25">
        <v>250</v>
      </c>
      <c r="I42" s="24">
        <v>200</v>
      </c>
      <c r="J42" s="24">
        <v>350</v>
      </c>
      <c r="K42" s="24">
        <v>350</v>
      </c>
      <c r="L42" s="24">
        <v>400</v>
      </c>
    </row>
    <row r="43" spans="1:12">
      <c r="A43" s="22"/>
      <c r="B43" s="18"/>
      <c r="C43" s="26"/>
      <c r="D43" s="27"/>
      <c r="E43" s="27"/>
      <c r="F43" s="27"/>
      <c r="G43" s="27"/>
      <c r="H43" s="28"/>
      <c r="I43" s="27"/>
      <c r="J43" s="27"/>
      <c r="K43" s="27"/>
      <c r="L43" s="27"/>
    </row>
    <row r="44" spans="1:12">
      <c r="A44" s="17" t="s">
        <v>99</v>
      </c>
      <c r="B44" s="18"/>
      <c r="C44" s="26"/>
      <c r="D44" s="27"/>
      <c r="E44" s="27"/>
      <c r="F44" s="27"/>
      <c r="G44" s="27"/>
      <c r="H44" s="28"/>
      <c r="I44" s="27"/>
      <c r="J44" s="27"/>
      <c r="K44" s="27"/>
      <c r="L44" s="27"/>
    </row>
    <row r="45" spans="1:12">
      <c r="A45" s="22" t="s">
        <v>100</v>
      </c>
      <c r="B45" s="18" t="s">
        <v>101</v>
      </c>
      <c r="C45" s="29">
        <v>100</v>
      </c>
      <c r="D45" s="30">
        <v>200</v>
      </c>
      <c r="E45" s="30">
        <v>200</v>
      </c>
      <c r="F45" s="30">
        <v>250</v>
      </c>
      <c r="G45" s="30">
        <v>100</v>
      </c>
      <c r="H45" s="31">
        <v>200</v>
      </c>
      <c r="I45" s="30">
        <v>150</v>
      </c>
      <c r="J45" s="30">
        <v>300</v>
      </c>
      <c r="K45" s="30">
        <v>300</v>
      </c>
      <c r="L45" s="30">
        <v>350</v>
      </c>
    </row>
    <row r="46" spans="1:12">
      <c r="A46" s="22" t="s">
        <v>102</v>
      </c>
      <c r="B46" s="18" t="s">
        <v>103</v>
      </c>
      <c r="C46" s="29">
        <v>100</v>
      </c>
      <c r="D46" s="30">
        <v>200</v>
      </c>
      <c r="E46" s="30">
        <v>200</v>
      </c>
      <c r="F46" s="30">
        <v>250</v>
      </c>
      <c r="G46" s="30">
        <v>100</v>
      </c>
      <c r="H46" s="31">
        <v>200</v>
      </c>
      <c r="I46" s="30">
        <v>150</v>
      </c>
      <c r="J46" s="30">
        <v>300</v>
      </c>
      <c r="K46" s="30">
        <v>300</v>
      </c>
      <c r="L46" s="30">
        <v>350</v>
      </c>
    </row>
    <row r="47" spans="1:12">
      <c r="A47" s="22" t="s">
        <v>104</v>
      </c>
      <c r="B47" s="18" t="s">
        <v>105</v>
      </c>
      <c r="C47" s="29">
        <v>100</v>
      </c>
      <c r="D47" s="30">
        <v>200</v>
      </c>
      <c r="E47" s="30">
        <v>200</v>
      </c>
      <c r="F47" s="30">
        <v>250</v>
      </c>
      <c r="G47" s="30">
        <v>100</v>
      </c>
      <c r="H47" s="31">
        <v>200</v>
      </c>
      <c r="I47" s="30">
        <v>150</v>
      </c>
      <c r="J47" s="30">
        <v>300</v>
      </c>
      <c r="K47" s="30">
        <v>300</v>
      </c>
      <c r="L47" s="30">
        <v>350</v>
      </c>
    </row>
    <row r="48" spans="1:12">
      <c r="A48" s="22"/>
      <c r="B48" s="18"/>
      <c r="C48" s="26"/>
      <c r="D48" s="27"/>
      <c r="E48" s="27"/>
      <c r="F48" s="27"/>
      <c r="G48" s="27"/>
      <c r="H48" s="28"/>
      <c r="I48" s="27"/>
      <c r="J48" s="27"/>
      <c r="K48" s="27"/>
      <c r="L48" s="27"/>
    </row>
    <row r="49" spans="1:12">
      <c r="A49" s="17" t="s">
        <v>106</v>
      </c>
      <c r="B49" s="18"/>
      <c r="C49" s="26"/>
      <c r="D49" s="27"/>
      <c r="E49" s="27"/>
      <c r="F49" s="27"/>
      <c r="G49" s="27"/>
      <c r="H49" s="28"/>
      <c r="I49" s="27"/>
      <c r="J49" s="27"/>
      <c r="K49" s="27"/>
      <c r="L49" s="27"/>
    </row>
    <row r="50" spans="1:12">
      <c r="A50" s="22" t="s">
        <v>107</v>
      </c>
      <c r="B50" s="18" t="s">
        <v>108</v>
      </c>
      <c r="C50" s="23">
        <v>150</v>
      </c>
      <c r="D50" s="24">
        <v>250</v>
      </c>
      <c r="E50" s="24">
        <v>250</v>
      </c>
      <c r="F50" s="24">
        <v>300</v>
      </c>
      <c r="G50" s="24">
        <v>150</v>
      </c>
      <c r="H50" s="25">
        <v>250</v>
      </c>
      <c r="I50" s="24">
        <v>200</v>
      </c>
      <c r="J50" s="24">
        <v>350</v>
      </c>
      <c r="K50" s="24">
        <v>350</v>
      </c>
      <c r="L50" s="24">
        <v>400</v>
      </c>
    </row>
    <row r="51" spans="1:12">
      <c r="A51" s="44"/>
      <c r="B51" s="39"/>
      <c r="C51" s="26"/>
      <c r="D51" s="27"/>
      <c r="E51" s="27"/>
      <c r="F51" s="27"/>
      <c r="G51" s="27"/>
      <c r="H51" s="28"/>
      <c r="I51" s="27"/>
      <c r="J51" s="27"/>
      <c r="K51" s="27"/>
      <c r="L51" s="27"/>
    </row>
    <row r="52" spans="1:12">
      <c r="A52" s="45" t="s">
        <v>109</v>
      </c>
      <c r="B52" s="39"/>
      <c r="C52" s="26"/>
      <c r="D52" s="27"/>
      <c r="E52" s="27"/>
      <c r="F52" s="27"/>
      <c r="G52" s="27"/>
      <c r="H52" s="28"/>
      <c r="I52" s="27"/>
      <c r="J52" s="27"/>
      <c r="K52" s="27"/>
      <c r="L52" s="27"/>
    </row>
    <row r="53" spans="1:12">
      <c r="A53" s="22" t="s">
        <v>110</v>
      </c>
      <c r="B53" s="18" t="s">
        <v>111</v>
      </c>
      <c r="C53" s="23">
        <v>150</v>
      </c>
      <c r="D53" s="24">
        <v>250</v>
      </c>
      <c r="E53" s="24">
        <v>250</v>
      </c>
      <c r="F53" s="24">
        <v>300</v>
      </c>
      <c r="G53" s="24">
        <v>150</v>
      </c>
      <c r="H53" s="25">
        <v>250</v>
      </c>
      <c r="I53" s="24">
        <v>200</v>
      </c>
      <c r="J53" s="24">
        <v>350</v>
      </c>
      <c r="K53" s="24">
        <v>350</v>
      </c>
      <c r="L53" s="24">
        <v>400</v>
      </c>
    </row>
    <row r="54" spans="1:12">
      <c r="A54" s="22"/>
      <c r="B54" s="18"/>
      <c r="C54" s="26"/>
      <c r="D54" s="27"/>
      <c r="E54" s="27"/>
      <c r="F54" s="27"/>
      <c r="G54" s="27"/>
      <c r="H54" s="28"/>
      <c r="I54" s="27"/>
      <c r="J54" s="27"/>
      <c r="K54" s="27"/>
      <c r="L54" s="27"/>
    </row>
    <row r="55" spans="1:12">
      <c r="A55" s="17" t="s">
        <v>112</v>
      </c>
      <c r="B55" s="18"/>
      <c r="C55" s="26"/>
      <c r="D55" s="27"/>
      <c r="E55" s="27"/>
      <c r="F55" s="27"/>
      <c r="G55" s="27"/>
      <c r="H55" s="28"/>
      <c r="I55" s="27"/>
      <c r="J55" s="27"/>
      <c r="K55" s="27"/>
      <c r="L55" s="27"/>
    </row>
    <row r="56" spans="1:12">
      <c r="A56" s="43" t="s">
        <v>113</v>
      </c>
      <c r="B56" s="46" t="s">
        <v>114</v>
      </c>
      <c r="C56" s="23">
        <v>150</v>
      </c>
      <c r="D56" s="24">
        <v>250</v>
      </c>
      <c r="E56" s="24">
        <v>250</v>
      </c>
      <c r="F56" s="24">
        <v>300</v>
      </c>
      <c r="G56" s="24">
        <v>150</v>
      </c>
      <c r="H56" s="25">
        <v>250</v>
      </c>
      <c r="I56" s="24">
        <v>200</v>
      </c>
      <c r="J56" s="24">
        <v>350</v>
      </c>
      <c r="K56" s="24">
        <v>350</v>
      </c>
      <c r="L56" s="24">
        <v>400</v>
      </c>
    </row>
    <row r="57" spans="1:12">
      <c r="A57" s="44" t="s">
        <v>45</v>
      </c>
      <c r="B57" s="39" t="s">
        <v>115</v>
      </c>
      <c r="C57" s="23">
        <v>150</v>
      </c>
      <c r="D57" s="24">
        <v>250</v>
      </c>
      <c r="E57" s="24">
        <v>250</v>
      </c>
      <c r="F57" s="24">
        <v>300</v>
      </c>
      <c r="G57" s="24">
        <v>150</v>
      </c>
      <c r="H57" s="25">
        <v>250</v>
      </c>
      <c r="I57" s="24">
        <v>200</v>
      </c>
      <c r="J57" s="24">
        <v>350</v>
      </c>
      <c r="K57" s="24">
        <v>350</v>
      </c>
      <c r="L57" s="24">
        <v>400</v>
      </c>
    </row>
    <row r="58" spans="1:12">
      <c r="A58" s="44"/>
      <c r="B58" s="39"/>
      <c r="C58" s="26"/>
      <c r="D58" s="27"/>
      <c r="E58" s="27"/>
      <c r="F58" s="27"/>
      <c r="G58" s="27"/>
      <c r="H58" s="28"/>
      <c r="I58" s="27"/>
      <c r="J58" s="27"/>
      <c r="K58" s="27"/>
      <c r="L58" s="27"/>
    </row>
    <row r="59" spans="1:12">
      <c r="A59" s="17" t="s">
        <v>116</v>
      </c>
      <c r="B59" s="40"/>
      <c r="C59" s="26"/>
      <c r="D59" s="27"/>
      <c r="E59" s="27"/>
      <c r="F59" s="27"/>
      <c r="G59" s="27"/>
      <c r="H59" s="28"/>
      <c r="I59" s="27"/>
      <c r="J59" s="27"/>
      <c r="K59" s="27"/>
      <c r="L59" s="27"/>
    </row>
    <row r="60" spans="1:12">
      <c r="A60" s="43" t="s">
        <v>117</v>
      </c>
      <c r="B60" s="18" t="s">
        <v>118</v>
      </c>
      <c r="C60" s="29">
        <v>100</v>
      </c>
      <c r="D60" s="30">
        <v>200</v>
      </c>
      <c r="E60" s="30">
        <v>200</v>
      </c>
      <c r="F60" s="30">
        <v>250</v>
      </c>
      <c r="G60" s="30">
        <v>100</v>
      </c>
      <c r="H60" s="31">
        <v>200</v>
      </c>
      <c r="I60" s="30">
        <v>150</v>
      </c>
      <c r="J60" s="30">
        <v>300</v>
      </c>
      <c r="K60" s="30">
        <v>300</v>
      </c>
      <c r="L60" s="30">
        <v>350</v>
      </c>
    </row>
    <row r="61" spans="1:12">
      <c r="A61" s="22"/>
      <c r="B61" s="18"/>
      <c r="C61" s="26"/>
      <c r="D61" s="27"/>
      <c r="E61" s="27"/>
      <c r="F61" s="27"/>
      <c r="G61" s="27"/>
      <c r="H61" s="28"/>
      <c r="I61" s="27"/>
      <c r="J61" s="27"/>
      <c r="K61" s="27"/>
      <c r="L61" s="27"/>
    </row>
    <row r="62" spans="1:12">
      <c r="A62" s="17" t="s">
        <v>119</v>
      </c>
      <c r="B62" s="18" t="s">
        <v>120</v>
      </c>
      <c r="C62" s="47">
        <v>200</v>
      </c>
      <c r="D62" s="48">
        <v>350</v>
      </c>
      <c r="E62" s="48">
        <v>350</v>
      </c>
      <c r="F62" s="48">
        <v>400</v>
      </c>
      <c r="G62" s="48">
        <v>300</v>
      </c>
      <c r="H62" s="49">
        <v>500</v>
      </c>
      <c r="I62" s="48">
        <v>250</v>
      </c>
      <c r="J62" s="48">
        <v>450</v>
      </c>
      <c r="K62" s="48">
        <v>450</v>
      </c>
      <c r="L62" s="48">
        <v>500</v>
      </c>
    </row>
    <row r="63" spans="1:12">
      <c r="A63" s="22"/>
      <c r="B63" s="18"/>
      <c r="C63" s="26"/>
      <c r="D63" s="27"/>
      <c r="E63" s="27"/>
      <c r="F63" s="27"/>
      <c r="G63" s="27"/>
      <c r="H63" s="28"/>
      <c r="I63" s="27"/>
      <c r="J63" s="27"/>
      <c r="K63" s="27"/>
      <c r="L63" s="27"/>
    </row>
    <row r="64" spans="1:12">
      <c r="A64" s="17" t="s">
        <v>121</v>
      </c>
      <c r="B64" s="18" t="s">
        <v>122</v>
      </c>
      <c r="C64" s="50">
        <v>300</v>
      </c>
      <c r="D64" s="51">
        <v>550</v>
      </c>
      <c r="E64" s="51">
        <v>550</v>
      </c>
      <c r="F64" s="51">
        <v>600</v>
      </c>
      <c r="G64" s="51">
        <v>350</v>
      </c>
      <c r="H64" s="52">
        <v>600</v>
      </c>
      <c r="I64" s="51">
        <v>350</v>
      </c>
      <c r="J64" s="51">
        <v>650</v>
      </c>
      <c r="K64" s="51">
        <v>650</v>
      </c>
      <c r="L64" s="51">
        <v>700</v>
      </c>
    </row>
    <row r="65" spans="1:12">
      <c r="A65" s="22"/>
      <c r="B65" s="18"/>
      <c r="C65" s="26"/>
      <c r="D65" s="27"/>
      <c r="E65" s="27"/>
      <c r="F65" s="27"/>
      <c r="G65" s="27"/>
      <c r="H65" s="28"/>
      <c r="I65" s="27"/>
      <c r="J65" s="27"/>
      <c r="K65" s="27"/>
      <c r="L65" s="27"/>
    </row>
    <row r="66" spans="1:12">
      <c r="A66" s="17" t="s">
        <v>123</v>
      </c>
      <c r="B66" s="18" t="s">
        <v>124</v>
      </c>
      <c r="C66" s="47">
        <v>200</v>
      </c>
      <c r="D66" s="48">
        <v>350</v>
      </c>
      <c r="E66" s="48">
        <v>350</v>
      </c>
      <c r="F66" s="48">
        <v>400</v>
      </c>
      <c r="G66" s="48">
        <v>300</v>
      </c>
      <c r="H66" s="49">
        <v>500</v>
      </c>
      <c r="I66" s="48">
        <v>250</v>
      </c>
      <c r="J66" s="48">
        <v>450</v>
      </c>
      <c r="K66" s="48">
        <v>450</v>
      </c>
      <c r="L66" s="48">
        <v>500</v>
      </c>
    </row>
    <row r="67" spans="1:12">
      <c r="A67" s="53"/>
      <c r="B67" s="12"/>
      <c r="C67" s="26"/>
      <c r="D67" s="27"/>
      <c r="E67" s="27"/>
      <c r="F67" s="27"/>
      <c r="G67" s="27"/>
      <c r="H67" s="28"/>
      <c r="I67" s="27"/>
      <c r="J67" s="27"/>
      <c r="K67" s="27"/>
      <c r="L67" s="27"/>
    </row>
    <row r="68" spans="1:12">
      <c r="A68" s="17" t="s">
        <v>125</v>
      </c>
      <c r="B68" s="18" t="s">
        <v>126</v>
      </c>
      <c r="C68" s="29">
        <v>100</v>
      </c>
      <c r="D68" s="30">
        <v>200</v>
      </c>
      <c r="E68" s="30">
        <v>200</v>
      </c>
      <c r="F68" s="30">
        <v>250</v>
      </c>
      <c r="G68" s="30">
        <v>100</v>
      </c>
      <c r="H68" s="31">
        <v>200</v>
      </c>
      <c r="I68" s="30">
        <v>150</v>
      </c>
      <c r="J68" s="30">
        <v>300</v>
      </c>
      <c r="K68" s="30">
        <v>300</v>
      </c>
      <c r="L68" s="30">
        <v>350</v>
      </c>
    </row>
    <row r="69" spans="1:12">
      <c r="A69" s="22"/>
      <c r="B69" s="18"/>
      <c r="C69" s="26"/>
      <c r="D69" s="27"/>
      <c r="E69" s="27"/>
      <c r="F69" s="27"/>
      <c r="G69" s="27"/>
      <c r="H69" s="28"/>
      <c r="I69" s="27"/>
      <c r="J69" s="27"/>
      <c r="K69" s="27"/>
      <c r="L69" s="27"/>
    </row>
    <row r="70" spans="1:12">
      <c r="A70" s="17" t="s">
        <v>127</v>
      </c>
      <c r="B70" s="18" t="s">
        <v>128</v>
      </c>
      <c r="C70" s="29">
        <v>100</v>
      </c>
      <c r="D70" s="30">
        <v>200</v>
      </c>
      <c r="E70" s="30">
        <v>200</v>
      </c>
      <c r="F70" s="30">
        <v>250</v>
      </c>
      <c r="G70" s="30">
        <v>100</v>
      </c>
      <c r="H70" s="31">
        <v>200</v>
      </c>
      <c r="I70" s="30">
        <v>150</v>
      </c>
      <c r="J70" s="30">
        <v>300</v>
      </c>
      <c r="K70" s="30">
        <v>300</v>
      </c>
      <c r="L70" s="30">
        <v>350</v>
      </c>
    </row>
    <row r="71" spans="1:12">
      <c r="A71" s="22"/>
      <c r="B71" s="18"/>
      <c r="C71" s="26"/>
      <c r="D71" s="27"/>
      <c r="E71" s="27"/>
      <c r="F71" s="27"/>
      <c r="G71" s="27"/>
      <c r="H71" s="28"/>
      <c r="I71" s="27"/>
      <c r="J71" s="27"/>
      <c r="K71" s="27"/>
      <c r="L71" s="27"/>
    </row>
    <row r="72" spans="1:12">
      <c r="A72" s="17" t="s">
        <v>129</v>
      </c>
      <c r="B72" s="18" t="s">
        <v>130</v>
      </c>
      <c r="C72" s="47">
        <v>200</v>
      </c>
      <c r="D72" s="48">
        <v>350</v>
      </c>
      <c r="E72" s="48">
        <v>350</v>
      </c>
      <c r="F72" s="48">
        <v>400</v>
      </c>
      <c r="G72" s="48">
        <v>300</v>
      </c>
      <c r="H72" s="49">
        <v>500</v>
      </c>
      <c r="I72" s="48">
        <v>250</v>
      </c>
      <c r="J72" s="48">
        <v>450</v>
      </c>
      <c r="K72" s="48">
        <v>450</v>
      </c>
      <c r="L72" s="48">
        <v>500</v>
      </c>
    </row>
    <row r="73" spans="1:12">
      <c r="A73" s="22"/>
      <c r="B73" s="18"/>
      <c r="C73" s="26"/>
      <c r="D73" s="27"/>
      <c r="E73" s="27"/>
      <c r="F73" s="27"/>
      <c r="G73" s="27"/>
      <c r="H73" s="28"/>
      <c r="I73" s="27"/>
      <c r="J73" s="27"/>
      <c r="K73" s="27"/>
      <c r="L73" s="27"/>
    </row>
    <row r="74" spans="1:12">
      <c r="A74" s="17" t="s">
        <v>131</v>
      </c>
      <c r="B74" s="18"/>
      <c r="C74" s="26"/>
      <c r="D74" s="27"/>
      <c r="E74" s="27"/>
      <c r="F74" s="27"/>
      <c r="G74" s="27"/>
      <c r="H74" s="28"/>
      <c r="I74" s="27"/>
      <c r="J74" s="27"/>
      <c r="K74" s="27"/>
      <c r="L74" s="27"/>
    </row>
    <row r="75" spans="1:12">
      <c r="A75" s="22" t="s">
        <v>132</v>
      </c>
      <c r="B75" s="18" t="s">
        <v>133</v>
      </c>
      <c r="C75" s="29">
        <v>100</v>
      </c>
      <c r="D75" s="30">
        <v>200</v>
      </c>
      <c r="E75" s="30">
        <v>200</v>
      </c>
      <c r="F75" s="30">
        <v>250</v>
      </c>
      <c r="G75" s="30">
        <v>100</v>
      </c>
      <c r="H75" s="31">
        <v>200</v>
      </c>
      <c r="I75" s="30">
        <v>150</v>
      </c>
      <c r="J75" s="30">
        <v>300</v>
      </c>
      <c r="K75" s="30">
        <v>300</v>
      </c>
      <c r="L75" s="30">
        <v>350</v>
      </c>
    </row>
    <row r="76" spans="1:12">
      <c r="A76" s="22" t="s">
        <v>134</v>
      </c>
      <c r="B76" s="18" t="s">
        <v>135</v>
      </c>
      <c r="C76" s="29">
        <v>100</v>
      </c>
      <c r="D76" s="30">
        <v>200</v>
      </c>
      <c r="E76" s="30">
        <v>200</v>
      </c>
      <c r="F76" s="30">
        <v>250</v>
      </c>
      <c r="G76" s="30">
        <v>100</v>
      </c>
      <c r="H76" s="31">
        <v>200</v>
      </c>
      <c r="I76" s="30">
        <v>150</v>
      </c>
      <c r="J76" s="30">
        <v>300</v>
      </c>
      <c r="K76" s="30">
        <v>300</v>
      </c>
      <c r="L76" s="30">
        <v>350</v>
      </c>
    </row>
    <row r="77" spans="1:12">
      <c r="A77" s="22" t="s">
        <v>136</v>
      </c>
      <c r="B77" s="18" t="s">
        <v>137</v>
      </c>
      <c r="C77" s="29">
        <v>100</v>
      </c>
      <c r="D77" s="30">
        <v>200</v>
      </c>
      <c r="E77" s="30">
        <v>200</v>
      </c>
      <c r="F77" s="30">
        <v>250</v>
      </c>
      <c r="G77" s="30">
        <v>100</v>
      </c>
      <c r="H77" s="31">
        <v>200</v>
      </c>
      <c r="I77" s="30">
        <v>150</v>
      </c>
      <c r="J77" s="30">
        <v>300</v>
      </c>
      <c r="K77" s="30">
        <v>300</v>
      </c>
      <c r="L77" s="30">
        <v>350</v>
      </c>
    </row>
    <row r="78" spans="1:12">
      <c r="A78" s="22" t="s">
        <v>138</v>
      </c>
      <c r="B78" s="18" t="s">
        <v>139</v>
      </c>
      <c r="C78" s="29">
        <v>100</v>
      </c>
      <c r="D78" s="30">
        <v>200</v>
      </c>
      <c r="E78" s="30">
        <v>200</v>
      </c>
      <c r="F78" s="30">
        <v>250</v>
      </c>
      <c r="G78" s="30">
        <v>100</v>
      </c>
      <c r="H78" s="31">
        <v>200</v>
      </c>
      <c r="I78" s="30">
        <v>150</v>
      </c>
      <c r="J78" s="30">
        <v>300</v>
      </c>
      <c r="K78" s="30">
        <v>300</v>
      </c>
      <c r="L78" s="30">
        <v>350</v>
      </c>
    </row>
    <row r="79" spans="1:12">
      <c r="A79" s="22"/>
      <c r="B79" s="18"/>
      <c r="C79" s="26"/>
      <c r="D79" s="27"/>
      <c r="E79" s="27"/>
      <c r="F79" s="27"/>
      <c r="G79" s="27"/>
      <c r="H79" s="28"/>
      <c r="I79" s="27"/>
      <c r="J79" s="27"/>
      <c r="K79" s="27"/>
      <c r="L79" s="27"/>
    </row>
    <row r="80" spans="1:12">
      <c r="A80" s="17" t="s">
        <v>140</v>
      </c>
      <c r="B80" s="18"/>
      <c r="C80" s="26"/>
      <c r="D80" s="27"/>
      <c r="E80" s="27"/>
      <c r="F80" s="27"/>
      <c r="G80" s="27"/>
      <c r="H80" s="28"/>
      <c r="I80" s="27"/>
      <c r="J80" s="27"/>
      <c r="K80" s="27"/>
      <c r="L80" s="27"/>
    </row>
    <row r="81" spans="1:12">
      <c r="A81" s="22" t="s">
        <v>141</v>
      </c>
      <c r="B81" s="18" t="s">
        <v>142</v>
      </c>
      <c r="C81" s="29">
        <v>100</v>
      </c>
      <c r="D81" s="30">
        <v>200</v>
      </c>
      <c r="E81" s="30">
        <v>200</v>
      </c>
      <c r="F81" s="30">
        <v>250</v>
      </c>
      <c r="G81" s="30">
        <v>100</v>
      </c>
      <c r="H81" s="31">
        <v>200</v>
      </c>
      <c r="I81" s="30">
        <v>150</v>
      </c>
      <c r="J81" s="30">
        <v>300</v>
      </c>
      <c r="K81" s="30">
        <v>300</v>
      </c>
      <c r="L81" s="30">
        <v>350</v>
      </c>
    </row>
    <row r="82" spans="1:12">
      <c r="A82" s="43" t="s">
        <v>143</v>
      </c>
      <c r="B82" s="18" t="s">
        <v>144</v>
      </c>
      <c r="C82" s="29">
        <v>100</v>
      </c>
      <c r="D82" s="30">
        <v>200</v>
      </c>
      <c r="E82" s="30">
        <v>200</v>
      </c>
      <c r="F82" s="30">
        <v>250</v>
      </c>
      <c r="G82" s="30">
        <v>100</v>
      </c>
      <c r="H82" s="31">
        <v>200</v>
      </c>
      <c r="I82" s="30">
        <v>150</v>
      </c>
      <c r="J82" s="30">
        <v>300</v>
      </c>
      <c r="K82" s="30">
        <v>300</v>
      </c>
      <c r="L82" s="30">
        <v>350</v>
      </c>
    </row>
    <row r="83" spans="1:12">
      <c r="A83" s="43" t="s">
        <v>145</v>
      </c>
      <c r="B83" s="18" t="s">
        <v>146</v>
      </c>
      <c r="C83" s="29">
        <v>100</v>
      </c>
      <c r="D83" s="30">
        <v>200</v>
      </c>
      <c r="E83" s="30">
        <v>200</v>
      </c>
      <c r="F83" s="30">
        <v>250</v>
      </c>
      <c r="G83" s="30">
        <v>100</v>
      </c>
      <c r="H83" s="31">
        <v>200</v>
      </c>
      <c r="I83" s="30">
        <v>150</v>
      </c>
      <c r="J83" s="30">
        <v>300</v>
      </c>
      <c r="K83" s="30">
        <v>300</v>
      </c>
      <c r="L83" s="30">
        <v>350</v>
      </c>
    </row>
    <row r="84" spans="1:12">
      <c r="A84" s="111" t="s">
        <v>147</v>
      </c>
      <c r="B84" s="46" t="s">
        <v>148</v>
      </c>
      <c r="C84" s="29">
        <v>100</v>
      </c>
      <c r="D84" s="30">
        <v>200</v>
      </c>
      <c r="E84" s="30">
        <v>200</v>
      </c>
      <c r="F84" s="30">
        <v>250</v>
      </c>
      <c r="G84" s="30">
        <v>100</v>
      </c>
      <c r="H84" s="31">
        <v>200</v>
      </c>
      <c r="I84" s="30">
        <v>150</v>
      </c>
      <c r="J84" s="30">
        <v>300</v>
      </c>
      <c r="K84" s="30">
        <v>300</v>
      </c>
      <c r="L84" s="30">
        <v>350</v>
      </c>
    </row>
    <row r="85" spans="1:12">
      <c r="A85" s="111" t="s">
        <v>149</v>
      </c>
      <c r="B85" s="46" t="s">
        <v>150</v>
      </c>
      <c r="C85" s="29">
        <v>100</v>
      </c>
      <c r="D85" s="30">
        <v>200</v>
      </c>
      <c r="E85" s="30">
        <v>200</v>
      </c>
      <c r="F85" s="30">
        <v>250</v>
      </c>
      <c r="G85" s="30">
        <v>100</v>
      </c>
      <c r="H85" s="31">
        <v>200</v>
      </c>
      <c r="I85" s="30">
        <v>150</v>
      </c>
      <c r="J85" s="30">
        <v>300</v>
      </c>
      <c r="K85" s="30">
        <v>300</v>
      </c>
      <c r="L85" s="30">
        <v>350</v>
      </c>
    </row>
    <row r="86" spans="1:12">
      <c r="A86" s="43"/>
      <c r="B86" s="46"/>
      <c r="C86" s="26"/>
      <c r="D86" s="27"/>
      <c r="E86" s="27"/>
      <c r="F86" s="27"/>
      <c r="G86" s="27"/>
      <c r="H86" s="28"/>
      <c r="I86" s="27"/>
      <c r="J86" s="27"/>
      <c r="K86" s="27"/>
      <c r="L86" s="27"/>
    </row>
    <row r="87" spans="1:12">
      <c r="A87" s="54" t="s">
        <v>151</v>
      </c>
      <c r="B87" s="18"/>
      <c r="C87" s="26"/>
      <c r="D87" s="27"/>
      <c r="E87" s="27"/>
      <c r="F87" s="27"/>
      <c r="G87" s="27"/>
      <c r="H87" s="28"/>
      <c r="I87" s="27"/>
      <c r="J87" s="27"/>
      <c r="K87" s="27"/>
      <c r="L87" s="27"/>
    </row>
    <row r="88" spans="1:12">
      <c r="A88" s="22" t="s">
        <v>152</v>
      </c>
      <c r="B88" s="18" t="s">
        <v>153</v>
      </c>
      <c r="C88" s="50">
        <v>300</v>
      </c>
      <c r="D88" s="51">
        <v>550</v>
      </c>
      <c r="E88" s="51">
        <v>550</v>
      </c>
      <c r="F88" s="51">
        <v>600</v>
      </c>
      <c r="G88" s="51">
        <v>350</v>
      </c>
      <c r="H88" s="52">
        <v>600</v>
      </c>
      <c r="I88" s="51">
        <v>350</v>
      </c>
      <c r="J88" s="51">
        <v>650</v>
      </c>
      <c r="K88" s="51">
        <v>650</v>
      </c>
      <c r="L88" s="51">
        <v>700</v>
      </c>
    </row>
    <row r="89" spans="1:12">
      <c r="A89" s="22" t="s">
        <v>154</v>
      </c>
      <c r="B89" s="18" t="s">
        <v>155</v>
      </c>
      <c r="C89" s="50">
        <v>300</v>
      </c>
      <c r="D89" s="51">
        <v>550</v>
      </c>
      <c r="E89" s="51">
        <v>550</v>
      </c>
      <c r="F89" s="51">
        <v>600</v>
      </c>
      <c r="G89" s="51">
        <v>350</v>
      </c>
      <c r="H89" s="52">
        <v>600</v>
      </c>
      <c r="I89" s="51">
        <v>350</v>
      </c>
      <c r="J89" s="51">
        <v>650</v>
      </c>
      <c r="K89" s="51">
        <v>650</v>
      </c>
      <c r="L89" s="51">
        <v>700</v>
      </c>
    </row>
    <row r="90" spans="1:12">
      <c r="A90" s="22" t="s">
        <v>156</v>
      </c>
      <c r="B90" s="18" t="s">
        <v>157</v>
      </c>
      <c r="C90" s="50">
        <v>300</v>
      </c>
      <c r="D90" s="51">
        <v>550</v>
      </c>
      <c r="E90" s="51">
        <v>550</v>
      </c>
      <c r="F90" s="51">
        <v>600</v>
      </c>
      <c r="G90" s="51">
        <v>350</v>
      </c>
      <c r="H90" s="52">
        <v>600</v>
      </c>
      <c r="I90" s="51">
        <v>350</v>
      </c>
      <c r="J90" s="51">
        <v>650</v>
      </c>
      <c r="K90" s="51">
        <v>650</v>
      </c>
      <c r="L90" s="51">
        <v>700</v>
      </c>
    </row>
    <row r="91" spans="1:12">
      <c r="A91" s="22"/>
      <c r="B91" s="18"/>
      <c r="C91" s="26"/>
      <c r="D91" s="27"/>
      <c r="E91" s="27"/>
      <c r="F91" s="27"/>
      <c r="G91" s="27"/>
      <c r="H91" s="28"/>
      <c r="I91" s="27"/>
      <c r="J91" s="27"/>
      <c r="K91" s="27"/>
      <c r="L91" s="27"/>
    </row>
    <row r="92" spans="1:12">
      <c r="A92" s="17" t="s">
        <v>158</v>
      </c>
      <c r="B92" s="18" t="s">
        <v>159</v>
      </c>
      <c r="C92" s="32">
        <v>350</v>
      </c>
      <c r="D92" s="33">
        <v>500</v>
      </c>
      <c r="E92" s="33">
        <v>500</v>
      </c>
      <c r="F92" s="33">
        <v>600</v>
      </c>
      <c r="G92" s="55"/>
      <c r="H92" s="56"/>
      <c r="I92" s="33">
        <v>400</v>
      </c>
      <c r="J92" s="33">
        <v>550</v>
      </c>
      <c r="K92" s="33">
        <v>550</v>
      </c>
      <c r="L92" s="33">
        <v>600</v>
      </c>
    </row>
    <row r="93" spans="1:12">
      <c r="A93" s="22"/>
      <c r="B93" s="18"/>
      <c r="C93" s="26"/>
      <c r="D93" s="27"/>
      <c r="E93" s="27"/>
      <c r="F93" s="27"/>
      <c r="G93" s="27"/>
      <c r="H93" s="28"/>
      <c r="I93" s="27"/>
      <c r="J93" s="27"/>
      <c r="K93" s="27"/>
      <c r="L93" s="27"/>
    </row>
    <row r="94" spans="1:12">
      <c r="A94" s="17" t="s">
        <v>160</v>
      </c>
      <c r="B94" s="18" t="s">
        <v>161</v>
      </c>
      <c r="C94" s="23">
        <v>150</v>
      </c>
      <c r="D94" s="24">
        <v>250</v>
      </c>
      <c r="E94" s="24">
        <v>250</v>
      </c>
      <c r="F94" s="24">
        <v>300</v>
      </c>
      <c r="G94" s="24">
        <v>150</v>
      </c>
      <c r="H94" s="25">
        <v>250</v>
      </c>
      <c r="I94" s="24">
        <v>200</v>
      </c>
      <c r="J94" s="24">
        <v>350</v>
      </c>
      <c r="K94" s="24">
        <v>350</v>
      </c>
      <c r="L94" s="24">
        <v>400</v>
      </c>
    </row>
    <row r="95" spans="1:12">
      <c r="A95" s="17"/>
      <c r="B95" s="40"/>
      <c r="C95" s="26"/>
      <c r="D95" s="27"/>
      <c r="E95" s="27"/>
      <c r="F95" s="27"/>
      <c r="G95" s="27"/>
      <c r="H95" s="28"/>
      <c r="I95" s="27"/>
      <c r="J95" s="27"/>
      <c r="K95" s="27"/>
      <c r="L95" s="27"/>
    </row>
    <row r="96" spans="1:12">
      <c r="A96" s="17" t="s">
        <v>162</v>
      </c>
      <c r="B96" s="18" t="s">
        <v>163</v>
      </c>
      <c r="C96" s="50">
        <v>300</v>
      </c>
      <c r="D96" s="51">
        <v>550</v>
      </c>
      <c r="E96" s="51">
        <v>550</v>
      </c>
      <c r="F96" s="51">
        <v>600</v>
      </c>
      <c r="G96" s="51">
        <v>350</v>
      </c>
      <c r="H96" s="52">
        <v>600</v>
      </c>
      <c r="I96" s="51">
        <v>350</v>
      </c>
      <c r="J96" s="51">
        <v>650</v>
      </c>
      <c r="K96" s="51">
        <v>650</v>
      </c>
      <c r="L96" s="51">
        <v>700</v>
      </c>
    </row>
    <row r="97" spans="1:12">
      <c r="A97" s="57"/>
      <c r="B97" s="39"/>
      <c r="C97" s="26"/>
      <c r="D97" s="27"/>
      <c r="E97" s="27"/>
      <c r="F97" s="27"/>
      <c r="G97" s="27"/>
      <c r="H97" s="28"/>
      <c r="I97" s="27"/>
      <c r="J97" s="27"/>
      <c r="K97" s="27"/>
      <c r="L97" s="27"/>
    </row>
    <row r="98" spans="1:12">
      <c r="A98" s="17" t="s">
        <v>164</v>
      </c>
      <c r="B98" s="18" t="s">
        <v>165</v>
      </c>
      <c r="C98" s="50">
        <v>300</v>
      </c>
      <c r="D98" s="51">
        <v>550</v>
      </c>
      <c r="E98" s="51">
        <v>550</v>
      </c>
      <c r="F98" s="51">
        <v>600</v>
      </c>
      <c r="G98" s="51">
        <v>350</v>
      </c>
      <c r="H98" s="52">
        <v>600</v>
      </c>
      <c r="I98" s="51">
        <v>350</v>
      </c>
      <c r="J98" s="51">
        <v>650</v>
      </c>
      <c r="K98" s="51">
        <v>650</v>
      </c>
      <c r="L98" s="51">
        <v>700</v>
      </c>
    </row>
    <row r="99" spans="1:12">
      <c r="A99" s="17"/>
      <c r="B99" s="40"/>
      <c r="C99" s="26"/>
      <c r="D99" s="27"/>
      <c r="E99" s="27"/>
      <c r="F99" s="27"/>
      <c r="G99" s="27"/>
      <c r="H99" s="28"/>
      <c r="I99" s="27"/>
      <c r="J99" s="27"/>
      <c r="K99" s="27"/>
      <c r="L99" s="27"/>
    </row>
    <row r="100" spans="1:12">
      <c r="A100" s="17" t="s">
        <v>166</v>
      </c>
      <c r="B100" s="18" t="s">
        <v>167</v>
      </c>
      <c r="C100" s="32">
        <v>200</v>
      </c>
      <c r="D100" s="33">
        <v>300</v>
      </c>
      <c r="E100" s="33">
        <v>300</v>
      </c>
      <c r="F100" s="33">
        <v>350</v>
      </c>
      <c r="G100" s="33">
        <v>200</v>
      </c>
      <c r="H100" s="34">
        <v>300</v>
      </c>
      <c r="I100" s="55"/>
      <c r="J100" s="55"/>
      <c r="K100" s="55"/>
      <c r="L100" s="55"/>
    </row>
    <row r="101" spans="1:12">
      <c r="A101" s="58" t="s">
        <v>31</v>
      </c>
      <c r="B101" s="59" t="s">
        <v>168</v>
      </c>
      <c r="C101" s="35">
        <v>75</v>
      </c>
      <c r="D101" s="36">
        <v>150</v>
      </c>
      <c r="E101" s="36">
        <v>150</v>
      </c>
      <c r="F101" s="36">
        <v>200</v>
      </c>
      <c r="G101" s="36">
        <v>75</v>
      </c>
      <c r="H101" s="37">
        <v>150</v>
      </c>
      <c r="I101" s="55"/>
      <c r="J101" s="55"/>
      <c r="K101" s="55"/>
      <c r="L101" s="55"/>
    </row>
    <row r="102" spans="1:12">
      <c r="A102" s="58" t="s">
        <v>169</v>
      </c>
      <c r="B102" s="59" t="s">
        <v>170</v>
      </c>
      <c r="C102" s="35">
        <v>75</v>
      </c>
      <c r="D102" s="36">
        <v>150</v>
      </c>
      <c r="E102" s="36">
        <v>150</v>
      </c>
      <c r="F102" s="36">
        <v>200</v>
      </c>
      <c r="G102" s="36">
        <v>75</v>
      </c>
      <c r="H102" s="37">
        <v>150</v>
      </c>
      <c r="I102" s="55"/>
      <c r="J102" s="55"/>
      <c r="K102" s="55"/>
      <c r="L102" s="55"/>
    </row>
    <row r="103" spans="1:12">
      <c r="A103" s="58" t="s">
        <v>171</v>
      </c>
      <c r="B103" s="59" t="s">
        <v>172</v>
      </c>
      <c r="C103" s="35">
        <v>75</v>
      </c>
      <c r="D103" s="36">
        <v>150</v>
      </c>
      <c r="E103" s="36">
        <v>150</v>
      </c>
      <c r="F103" s="36">
        <v>200</v>
      </c>
      <c r="G103" s="36">
        <v>75</v>
      </c>
      <c r="H103" s="37">
        <v>150</v>
      </c>
      <c r="I103" s="55"/>
      <c r="J103" s="55"/>
      <c r="K103" s="55"/>
      <c r="L103" s="55"/>
    </row>
    <row r="104" spans="1:12">
      <c r="A104" s="60"/>
      <c r="B104" s="59"/>
      <c r="C104" s="26"/>
      <c r="D104" s="27"/>
      <c r="E104" s="27"/>
      <c r="F104" s="27"/>
      <c r="G104" s="27"/>
      <c r="H104" s="28"/>
      <c r="I104" s="27"/>
      <c r="J104" s="27"/>
      <c r="K104" s="27"/>
      <c r="L104" s="27"/>
    </row>
    <row r="105" spans="1:12">
      <c r="A105" s="17" t="s">
        <v>173</v>
      </c>
      <c r="B105" s="18"/>
      <c r="C105" s="26"/>
      <c r="D105" s="27"/>
      <c r="E105" s="27"/>
      <c r="F105" s="27"/>
      <c r="G105" s="27"/>
      <c r="H105" s="28"/>
      <c r="I105" s="27"/>
      <c r="J105" s="27"/>
      <c r="K105" s="27"/>
      <c r="L105" s="27"/>
    </row>
    <row r="106" spans="1:12">
      <c r="A106" s="22" t="s">
        <v>174</v>
      </c>
      <c r="B106" s="18" t="s">
        <v>175</v>
      </c>
      <c r="C106" s="32">
        <v>300</v>
      </c>
      <c r="D106" s="33">
        <v>450</v>
      </c>
      <c r="E106" s="33">
        <v>450</v>
      </c>
      <c r="F106" s="33">
        <v>500</v>
      </c>
      <c r="G106" s="33">
        <v>350</v>
      </c>
      <c r="H106" s="34">
        <v>500</v>
      </c>
      <c r="I106" s="55"/>
      <c r="J106" s="55"/>
      <c r="K106" s="55"/>
      <c r="L106" s="55"/>
    </row>
    <row r="107" spans="1:12">
      <c r="A107" s="22" t="s">
        <v>176</v>
      </c>
      <c r="B107" s="18" t="s">
        <v>177</v>
      </c>
      <c r="C107" s="35">
        <v>75</v>
      </c>
      <c r="D107" s="36">
        <v>150</v>
      </c>
      <c r="E107" s="36">
        <v>150</v>
      </c>
      <c r="F107" s="36">
        <v>200</v>
      </c>
      <c r="G107" s="36">
        <v>75</v>
      </c>
      <c r="H107" s="37">
        <v>150</v>
      </c>
      <c r="I107" s="36">
        <v>125</v>
      </c>
      <c r="J107" s="36">
        <v>250</v>
      </c>
      <c r="K107" s="36">
        <v>250</v>
      </c>
      <c r="L107" s="36">
        <v>300</v>
      </c>
    </row>
    <row r="108" spans="1:12">
      <c r="A108" s="22" t="s">
        <v>178</v>
      </c>
      <c r="B108" s="18" t="s">
        <v>179</v>
      </c>
      <c r="C108" s="35">
        <v>75</v>
      </c>
      <c r="D108" s="36">
        <v>150</v>
      </c>
      <c r="E108" s="36">
        <v>150</v>
      </c>
      <c r="F108" s="36">
        <v>200</v>
      </c>
      <c r="G108" s="36">
        <v>75</v>
      </c>
      <c r="H108" s="37">
        <v>150</v>
      </c>
      <c r="I108" s="36">
        <v>125</v>
      </c>
      <c r="J108" s="36">
        <v>250</v>
      </c>
      <c r="K108" s="36">
        <v>250</v>
      </c>
      <c r="L108" s="36">
        <v>300</v>
      </c>
    </row>
    <row r="109" spans="1:12">
      <c r="A109" s="22" t="s">
        <v>180</v>
      </c>
      <c r="B109" s="18" t="s">
        <v>181</v>
      </c>
      <c r="C109" s="35">
        <v>75</v>
      </c>
      <c r="D109" s="36">
        <v>150</v>
      </c>
      <c r="E109" s="36">
        <v>150</v>
      </c>
      <c r="F109" s="36">
        <v>200</v>
      </c>
      <c r="G109" s="36">
        <v>75</v>
      </c>
      <c r="H109" s="37">
        <v>150</v>
      </c>
      <c r="I109" s="36">
        <v>125</v>
      </c>
      <c r="J109" s="36">
        <v>250</v>
      </c>
      <c r="K109" s="36">
        <v>250</v>
      </c>
      <c r="L109" s="36">
        <v>300</v>
      </c>
    </row>
    <row r="110" spans="1:12">
      <c r="A110" s="22" t="s">
        <v>182</v>
      </c>
      <c r="B110" s="18"/>
      <c r="C110" s="35">
        <v>75</v>
      </c>
      <c r="D110" s="36">
        <v>150</v>
      </c>
      <c r="E110" s="36">
        <v>150</v>
      </c>
      <c r="F110" s="36">
        <v>200</v>
      </c>
      <c r="G110" s="36">
        <v>75</v>
      </c>
      <c r="H110" s="37">
        <v>150</v>
      </c>
      <c r="I110" s="36">
        <v>125</v>
      </c>
      <c r="J110" s="36">
        <v>250</v>
      </c>
      <c r="K110" s="36">
        <v>250</v>
      </c>
      <c r="L110" s="36">
        <v>300</v>
      </c>
    </row>
    <row r="111" spans="1:12">
      <c r="A111" s="61"/>
      <c r="B111" s="42"/>
      <c r="C111" s="26"/>
      <c r="D111" s="27"/>
      <c r="E111" s="27"/>
      <c r="F111" s="27"/>
      <c r="G111" s="27"/>
      <c r="H111" s="28"/>
      <c r="I111" s="27"/>
      <c r="J111" s="27"/>
      <c r="K111" s="27"/>
      <c r="L111" s="27"/>
    </row>
    <row r="112" spans="1:12">
      <c r="A112" s="17" t="s">
        <v>183</v>
      </c>
      <c r="B112" s="18"/>
      <c r="C112" s="26"/>
      <c r="D112" s="27"/>
      <c r="E112" s="27"/>
      <c r="F112" s="27"/>
      <c r="G112" s="27"/>
      <c r="H112" s="28"/>
      <c r="I112" s="27"/>
      <c r="J112" s="27"/>
      <c r="K112" s="27"/>
      <c r="L112" s="27"/>
    </row>
    <row r="113" spans="1:12">
      <c r="A113" s="41" t="s">
        <v>184</v>
      </c>
      <c r="B113" s="42" t="s">
        <v>185</v>
      </c>
      <c r="C113" s="47">
        <v>200</v>
      </c>
      <c r="D113" s="48">
        <v>350</v>
      </c>
      <c r="E113" s="48">
        <v>350</v>
      </c>
      <c r="F113" s="48">
        <v>400</v>
      </c>
      <c r="G113" s="48">
        <v>300</v>
      </c>
      <c r="H113" s="49">
        <v>500</v>
      </c>
      <c r="I113" s="48">
        <v>250</v>
      </c>
      <c r="J113" s="48">
        <v>450</v>
      </c>
      <c r="K113" s="48">
        <v>450</v>
      </c>
      <c r="L113" s="48">
        <v>500</v>
      </c>
    </row>
    <row r="114" spans="1:12">
      <c r="A114" s="41" t="s">
        <v>186</v>
      </c>
      <c r="B114" s="42" t="s">
        <v>187</v>
      </c>
      <c r="C114" s="47">
        <v>200</v>
      </c>
      <c r="D114" s="48">
        <v>350</v>
      </c>
      <c r="E114" s="48">
        <v>350</v>
      </c>
      <c r="F114" s="48">
        <v>400</v>
      </c>
      <c r="G114" s="48">
        <v>300</v>
      </c>
      <c r="H114" s="49">
        <v>500</v>
      </c>
      <c r="I114" s="48">
        <v>250</v>
      </c>
      <c r="J114" s="48">
        <v>450</v>
      </c>
      <c r="K114" s="48">
        <v>450</v>
      </c>
      <c r="L114" s="48">
        <v>500</v>
      </c>
    </row>
    <row r="115" spans="1:12">
      <c r="A115" s="61"/>
      <c r="B115" s="42"/>
      <c r="C115" s="26"/>
      <c r="D115" s="27"/>
      <c r="E115" s="27"/>
      <c r="F115" s="27"/>
      <c r="G115" s="27"/>
      <c r="H115" s="28"/>
      <c r="I115" s="27"/>
      <c r="J115" s="27"/>
      <c r="K115" s="27"/>
      <c r="L115" s="27"/>
    </row>
    <row r="116" spans="1:12">
      <c r="A116" s="17" t="s">
        <v>188</v>
      </c>
      <c r="B116" s="18"/>
      <c r="C116" s="26"/>
      <c r="D116" s="27"/>
      <c r="E116" s="27"/>
      <c r="F116" s="27"/>
      <c r="G116" s="27"/>
      <c r="H116" s="28"/>
      <c r="I116" s="27"/>
      <c r="J116" s="27"/>
      <c r="K116" s="27"/>
      <c r="L116" s="27"/>
    </row>
    <row r="117" spans="1:12" ht="15.75" thickBot="1">
      <c r="A117" s="41" t="s">
        <v>189</v>
      </c>
      <c r="B117" s="42" t="s">
        <v>190</v>
      </c>
      <c r="C117" s="62">
        <v>200</v>
      </c>
      <c r="D117" s="63">
        <v>350</v>
      </c>
      <c r="E117" s="63">
        <v>350</v>
      </c>
      <c r="F117" s="63">
        <v>400</v>
      </c>
      <c r="G117" s="63">
        <v>300</v>
      </c>
      <c r="H117" s="64">
        <v>500</v>
      </c>
      <c r="I117" s="65"/>
      <c r="J117" s="65"/>
      <c r="K117" s="65"/>
      <c r="L117" s="65"/>
    </row>
    <row r="118" spans="1:12">
      <c r="C118" s="1"/>
      <c r="D118" s="1"/>
      <c r="E118" s="1"/>
      <c r="F118" s="1"/>
      <c r="G118" s="1"/>
      <c r="H118" s="1"/>
    </row>
    <row r="119" spans="1:12">
      <c r="A119" s="17" t="s">
        <v>191</v>
      </c>
      <c r="B119" s="18"/>
      <c r="C119" s="26"/>
      <c r="D119" s="27"/>
      <c r="E119" s="27"/>
      <c r="F119" s="27"/>
      <c r="G119" s="27"/>
      <c r="H119" s="28"/>
      <c r="I119" s="27"/>
      <c r="J119" s="27"/>
      <c r="K119" s="27"/>
      <c r="L119" s="27"/>
    </row>
    <row r="120" spans="1:12">
      <c r="A120" s="41"/>
      <c r="B120" s="42" t="s">
        <v>185</v>
      </c>
      <c r="C120" s="50">
        <v>300</v>
      </c>
      <c r="D120" s="51">
        <v>550</v>
      </c>
      <c r="E120" s="51">
        <v>550</v>
      </c>
      <c r="F120" s="51">
        <v>600</v>
      </c>
      <c r="G120" s="51">
        <v>350</v>
      </c>
      <c r="H120" s="52">
        <v>600</v>
      </c>
      <c r="I120" s="51">
        <v>350</v>
      </c>
      <c r="J120" s="51">
        <v>650</v>
      </c>
      <c r="K120" s="51">
        <v>650</v>
      </c>
      <c r="L120" s="51">
        <v>700</v>
      </c>
    </row>
  </sheetData>
  <mergeCells count="1">
    <mergeCell ref="C2:H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2766-55A1-4716-B691-6DA8D63663B5}">
  <dimension ref="A1:M41"/>
  <sheetViews>
    <sheetView workbookViewId="0">
      <selection activeCell="K14" sqref="K14"/>
    </sheetView>
  </sheetViews>
  <sheetFormatPr defaultRowHeight="15"/>
  <cols>
    <col min="2" max="2" width="14.42578125" customWidth="1"/>
    <col min="4" max="4" width="12.7109375" bestFit="1" customWidth="1"/>
    <col min="5" max="5" width="10.28515625" style="1" customWidth="1"/>
    <col min="6" max="6" width="10.7109375" customWidth="1"/>
    <col min="9" max="9" width="14.5703125" customWidth="1"/>
    <col min="10" max="10" width="12.140625" customWidth="1"/>
    <col min="11" max="11" width="12.28515625" customWidth="1"/>
    <col min="12" max="12" width="11.28515625" customWidth="1"/>
    <col min="13" max="13" width="9.85546875" customWidth="1"/>
  </cols>
  <sheetData>
    <row r="1" spans="1:13" ht="21">
      <c r="A1" s="263" t="s">
        <v>413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</row>
    <row r="2" spans="1:13" ht="21">
      <c r="A2" s="263" t="s">
        <v>414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1:13" s="143" customFormat="1" ht="38.25">
      <c r="A3" s="144" t="s">
        <v>415</v>
      </c>
      <c r="B3" s="144" t="s">
        <v>416</v>
      </c>
      <c r="C3" s="144" t="s">
        <v>417</v>
      </c>
      <c r="D3" s="144" t="s">
        <v>418</v>
      </c>
      <c r="E3" s="144" t="s">
        <v>419</v>
      </c>
      <c r="F3" s="144" t="s">
        <v>419</v>
      </c>
      <c r="G3" s="144" t="s">
        <v>420</v>
      </c>
      <c r="H3" s="144" t="s">
        <v>421</v>
      </c>
      <c r="I3" s="145" t="s">
        <v>422</v>
      </c>
      <c r="J3" s="144" t="s">
        <v>423</v>
      </c>
      <c r="K3" s="144" t="s">
        <v>424</v>
      </c>
      <c r="L3" s="144" t="s">
        <v>425</v>
      </c>
      <c r="M3" s="144" t="s">
        <v>426</v>
      </c>
    </row>
    <row r="4" spans="1:13">
      <c r="A4" s="69" t="s">
        <v>427</v>
      </c>
      <c r="B4" s="69" t="s">
        <v>428</v>
      </c>
      <c r="C4" s="69" t="s">
        <v>429</v>
      </c>
      <c r="D4" s="69" t="s">
        <v>13</v>
      </c>
      <c r="E4" s="69" t="s">
        <v>36</v>
      </c>
      <c r="F4" s="69">
        <v>20</v>
      </c>
      <c r="G4" s="69" t="s">
        <v>430</v>
      </c>
      <c r="H4" s="69" t="s">
        <v>431</v>
      </c>
      <c r="I4" s="146">
        <v>48500</v>
      </c>
      <c r="J4" s="147" t="s">
        <v>432</v>
      </c>
      <c r="K4" s="69">
        <v>1</v>
      </c>
      <c r="L4" s="69">
        <v>7.7</v>
      </c>
      <c r="M4" s="69" t="s">
        <v>385</v>
      </c>
    </row>
    <row r="5" spans="1:13">
      <c r="A5" s="69" t="s">
        <v>427</v>
      </c>
      <c r="B5" s="69" t="s">
        <v>428</v>
      </c>
      <c r="C5" s="69" t="s">
        <v>429</v>
      </c>
      <c r="D5" s="69" t="s">
        <v>13</v>
      </c>
      <c r="E5" s="69" t="s">
        <v>36</v>
      </c>
      <c r="F5" s="69">
        <v>20</v>
      </c>
      <c r="G5" s="69" t="s">
        <v>430</v>
      </c>
      <c r="H5" s="69" t="s">
        <v>431</v>
      </c>
      <c r="I5" s="146">
        <v>55000</v>
      </c>
      <c r="J5" s="147" t="s">
        <v>432</v>
      </c>
      <c r="K5" s="69">
        <v>7.7</v>
      </c>
      <c r="L5" s="69">
        <v>17.7</v>
      </c>
      <c r="M5" s="69" t="s">
        <v>385</v>
      </c>
    </row>
    <row r="6" spans="1:13">
      <c r="A6" s="69" t="s">
        <v>427</v>
      </c>
      <c r="B6" s="69" t="s">
        <v>428</v>
      </c>
      <c r="C6" s="69" t="s">
        <v>429</v>
      </c>
      <c r="D6" s="69" t="s">
        <v>13</v>
      </c>
      <c r="E6" s="69" t="s">
        <v>36</v>
      </c>
      <c r="F6" s="69">
        <v>20</v>
      </c>
      <c r="G6" s="69" t="s">
        <v>430</v>
      </c>
      <c r="H6" s="69" t="s">
        <v>431</v>
      </c>
      <c r="I6" s="146">
        <v>59500</v>
      </c>
      <c r="J6" s="147" t="s">
        <v>432</v>
      </c>
      <c r="K6" s="69">
        <v>17.7</v>
      </c>
      <c r="L6" s="69">
        <v>23.7</v>
      </c>
      <c r="M6" s="69" t="s">
        <v>385</v>
      </c>
    </row>
    <row r="7" spans="1:13">
      <c r="A7" s="69" t="s">
        <v>427</v>
      </c>
      <c r="B7" s="69" t="s">
        <v>428</v>
      </c>
      <c r="C7" s="69" t="s">
        <v>429</v>
      </c>
      <c r="D7" s="69" t="s">
        <v>13</v>
      </c>
      <c r="E7" s="69" t="s">
        <v>36</v>
      </c>
      <c r="F7" s="69">
        <v>20</v>
      </c>
      <c r="G7" s="69" t="s">
        <v>430</v>
      </c>
      <c r="H7" s="69" t="s">
        <v>431</v>
      </c>
      <c r="I7" s="146">
        <v>63500</v>
      </c>
      <c r="J7" s="147" t="s">
        <v>432</v>
      </c>
      <c r="K7" s="69">
        <v>23.7</v>
      </c>
      <c r="L7" s="69">
        <v>27.7</v>
      </c>
      <c r="M7" s="69" t="s">
        <v>385</v>
      </c>
    </row>
    <row r="8" spans="1:13">
      <c r="A8" s="69" t="s">
        <v>427</v>
      </c>
      <c r="B8" s="69" t="s">
        <v>428</v>
      </c>
      <c r="C8" s="69" t="s">
        <v>429</v>
      </c>
      <c r="D8" s="69" t="s">
        <v>13</v>
      </c>
      <c r="E8" s="69" t="s">
        <v>36</v>
      </c>
      <c r="F8" s="69">
        <v>20</v>
      </c>
      <c r="G8" s="69" t="s">
        <v>430</v>
      </c>
      <c r="H8" s="69" t="s">
        <v>431</v>
      </c>
      <c r="I8" s="146">
        <v>63500</v>
      </c>
      <c r="J8" s="147" t="s">
        <v>432</v>
      </c>
      <c r="K8" s="69">
        <v>27.7</v>
      </c>
      <c r="L8" s="69">
        <v>28.7</v>
      </c>
      <c r="M8" s="69" t="s">
        <v>385</v>
      </c>
    </row>
    <row r="9" spans="1:13">
      <c r="A9" s="69" t="s">
        <v>427</v>
      </c>
      <c r="B9" s="69" t="s">
        <v>428</v>
      </c>
      <c r="C9" s="69" t="s">
        <v>429</v>
      </c>
      <c r="D9" s="69" t="s">
        <v>13</v>
      </c>
      <c r="E9" s="69" t="s">
        <v>36</v>
      </c>
      <c r="F9" s="69">
        <v>20</v>
      </c>
      <c r="G9" s="69" t="s">
        <v>395</v>
      </c>
      <c r="H9" s="69" t="s">
        <v>431</v>
      </c>
      <c r="I9" s="146">
        <v>63050</v>
      </c>
      <c r="J9" s="147" t="s">
        <v>432</v>
      </c>
      <c r="K9" s="69">
        <v>1</v>
      </c>
      <c r="L9" s="69">
        <v>7.7</v>
      </c>
      <c r="M9" s="69" t="s">
        <v>385</v>
      </c>
    </row>
    <row r="10" spans="1:13">
      <c r="A10" s="69" t="s">
        <v>427</v>
      </c>
      <c r="B10" s="69" t="s">
        <v>428</v>
      </c>
      <c r="C10" s="69" t="s">
        <v>429</v>
      </c>
      <c r="D10" s="69" t="s">
        <v>13</v>
      </c>
      <c r="E10" s="69" t="s">
        <v>36</v>
      </c>
      <c r="F10" s="69">
        <v>20</v>
      </c>
      <c r="G10" s="69" t="s">
        <v>395</v>
      </c>
      <c r="H10" s="69" t="s">
        <v>431</v>
      </c>
      <c r="I10" s="146">
        <v>71500</v>
      </c>
      <c r="J10" s="147" t="s">
        <v>432</v>
      </c>
      <c r="K10" s="69">
        <v>7.7</v>
      </c>
      <c r="L10" s="69">
        <v>17.7</v>
      </c>
      <c r="M10" s="69" t="s">
        <v>385</v>
      </c>
    </row>
    <row r="11" spans="1:13">
      <c r="A11" s="69" t="s">
        <v>427</v>
      </c>
      <c r="B11" s="69" t="s">
        <v>428</v>
      </c>
      <c r="C11" s="69" t="s">
        <v>429</v>
      </c>
      <c r="D11" s="69" t="s">
        <v>13</v>
      </c>
      <c r="E11" s="69" t="s">
        <v>36</v>
      </c>
      <c r="F11" s="69">
        <v>20</v>
      </c>
      <c r="G11" s="69" t="s">
        <v>395</v>
      </c>
      <c r="H11" s="69" t="s">
        <v>431</v>
      </c>
      <c r="I11" s="146">
        <v>77350</v>
      </c>
      <c r="J11" s="147" t="s">
        <v>432</v>
      </c>
      <c r="K11" s="69">
        <v>17.7</v>
      </c>
      <c r="L11" s="69">
        <v>23.7</v>
      </c>
      <c r="M11" s="69" t="s">
        <v>385</v>
      </c>
    </row>
    <row r="12" spans="1:13">
      <c r="A12" s="69" t="s">
        <v>427</v>
      </c>
      <c r="B12" s="69" t="s">
        <v>428</v>
      </c>
      <c r="C12" s="69" t="s">
        <v>429</v>
      </c>
      <c r="D12" s="69" t="s">
        <v>13</v>
      </c>
      <c r="E12" s="69" t="s">
        <v>36</v>
      </c>
      <c r="F12" s="69">
        <v>20</v>
      </c>
      <c r="G12" s="69" t="s">
        <v>395</v>
      </c>
      <c r="H12" s="69" t="s">
        <v>431</v>
      </c>
      <c r="I12" s="146">
        <v>82550</v>
      </c>
      <c r="J12" s="147" t="s">
        <v>432</v>
      </c>
      <c r="K12" s="69">
        <v>23.7</v>
      </c>
      <c r="L12" s="69">
        <v>27.7</v>
      </c>
      <c r="M12" s="69" t="s">
        <v>385</v>
      </c>
    </row>
    <row r="13" spans="1:13">
      <c r="A13" s="69" t="s">
        <v>427</v>
      </c>
      <c r="B13" s="69" t="s">
        <v>428</v>
      </c>
      <c r="C13" s="69" t="s">
        <v>429</v>
      </c>
      <c r="D13" s="69" t="s">
        <v>13</v>
      </c>
      <c r="E13" s="69" t="s">
        <v>36</v>
      </c>
      <c r="F13" s="69">
        <v>20</v>
      </c>
      <c r="G13" s="69" t="s">
        <v>395</v>
      </c>
      <c r="H13" s="69" t="s">
        <v>431</v>
      </c>
      <c r="I13" s="146">
        <v>82550</v>
      </c>
      <c r="J13" s="147" t="s">
        <v>432</v>
      </c>
      <c r="K13" s="69">
        <v>27.7</v>
      </c>
      <c r="L13" s="69">
        <v>28.7</v>
      </c>
      <c r="M13" s="69" t="s">
        <v>385</v>
      </c>
    </row>
    <row r="14" spans="1:13">
      <c r="A14" s="69" t="s">
        <v>427</v>
      </c>
      <c r="B14" s="69" t="s">
        <v>428</v>
      </c>
      <c r="C14" s="69" t="s">
        <v>429</v>
      </c>
      <c r="D14" s="69" t="s">
        <v>13</v>
      </c>
      <c r="E14" s="69" t="s">
        <v>433</v>
      </c>
      <c r="F14" s="69" t="s">
        <v>434</v>
      </c>
      <c r="G14" s="69" t="s">
        <v>430</v>
      </c>
      <c r="H14" s="69" t="s">
        <v>431</v>
      </c>
      <c r="I14" s="146">
        <v>82600</v>
      </c>
      <c r="J14" s="147" t="s">
        <v>432</v>
      </c>
      <c r="K14" s="69">
        <v>1</v>
      </c>
      <c r="L14" s="69">
        <v>15.4</v>
      </c>
      <c r="M14" s="69" t="s">
        <v>385</v>
      </c>
    </row>
    <row r="15" spans="1:13">
      <c r="A15" s="69" t="s">
        <v>427</v>
      </c>
      <c r="B15" s="69" t="s">
        <v>428</v>
      </c>
      <c r="C15" s="69" t="s">
        <v>429</v>
      </c>
      <c r="D15" s="69" t="s">
        <v>13</v>
      </c>
      <c r="E15" s="69" t="s">
        <v>433</v>
      </c>
      <c r="F15" s="69" t="s">
        <v>434</v>
      </c>
      <c r="G15" s="69" t="s">
        <v>430</v>
      </c>
      <c r="H15" s="69" t="s">
        <v>431</v>
      </c>
      <c r="I15" s="146">
        <v>95500</v>
      </c>
      <c r="J15" s="147" t="s">
        <v>432</v>
      </c>
      <c r="K15" s="69">
        <v>15.4</v>
      </c>
      <c r="L15" s="69">
        <v>22.4</v>
      </c>
      <c r="M15" s="69" t="s">
        <v>385</v>
      </c>
    </row>
    <row r="16" spans="1:13">
      <c r="A16" s="69" t="s">
        <v>427</v>
      </c>
      <c r="B16" s="69" t="s">
        <v>428</v>
      </c>
      <c r="C16" s="69" t="s">
        <v>429</v>
      </c>
      <c r="D16" s="69" t="s">
        <v>13</v>
      </c>
      <c r="E16" s="69" t="s">
        <v>433</v>
      </c>
      <c r="F16" s="69" t="s">
        <v>434</v>
      </c>
      <c r="G16" s="69" t="s">
        <v>430</v>
      </c>
      <c r="H16" s="69" t="s">
        <v>431</v>
      </c>
      <c r="I16" s="146">
        <v>95500</v>
      </c>
      <c r="J16" s="147" t="s">
        <v>432</v>
      </c>
      <c r="K16" s="69">
        <v>22.4</v>
      </c>
      <c r="L16" s="69">
        <v>26.4</v>
      </c>
      <c r="M16" s="69" t="s">
        <v>385</v>
      </c>
    </row>
    <row r="17" spans="1:13">
      <c r="A17" s="69" t="s">
        <v>427</v>
      </c>
      <c r="B17" s="69" t="s">
        <v>428</v>
      </c>
      <c r="C17" s="69" t="s">
        <v>429</v>
      </c>
      <c r="D17" s="69" t="s">
        <v>13</v>
      </c>
      <c r="E17" s="69" t="s">
        <v>433</v>
      </c>
      <c r="F17" s="69" t="s">
        <v>434</v>
      </c>
      <c r="G17" s="69" t="s">
        <v>395</v>
      </c>
      <c r="H17" s="69" t="s">
        <v>431</v>
      </c>
      <c r="I17" s="146">
        <v>107380</v>
      </c>
      <c r="J17" s="147" t="s">
        <v>432</v>
      </c>
      <c r="K17" s="69">
        <v>1</v>
      </c>
      <c r="L17" s="69">
        <v>15.4</v>
      </c>
      <c r="M17" s="69" t="s">
        <v>385</v>
      </c>
    </row>
    <row r="18" spans="1:13">
      <c r="A18" s="69" t="s">
        <v>427</v>
      </c>
      <c r="B18" s="69" t="s">
        <v>428</v>
      </c>
      <c r="C18" s="69" t="s">
        <v>429</v>
      </c>
      <c r="D18" s="69" t="s">
        <v>13</v>
      </c>
      <c r="E18" s="69" t="s">
        <v>433</v>
      </c>
      <c r="F18" s="69" t="s">
        <v>434</v>
      </c>
      <c r="G18" s="69" t="s">
        <v>395</v>
      </c>
      <c r="H18" s="69" t="s">
        <v>431</v>
      </c>
      <c r="I18" s="146">
        <v>124150</v>
      </c>
      <c r="J18" s="147" t="s">
        <v>432</v>
      </c>
      <c r="K18" s="69">
        <v>15.4</v>
      </c>
      <c r="L18" s="69">
        <v>22.4</v>
      </c>
      <c r="M18" s="69" t="s">
        <v>385</v>
      </c>
    </row>
    <row r="19" spans="1:13">
      <c r="A19" s="69" t="s">
        <v>427</v>
      </c>
      <c r="B19" s="69" t="s">
        <v>428</v>
      </c>
      <c r="C19" s="69" t="s">
        <v>429</v>
      </c>
      <c r="D19" s="69" t="s">
        <v>13</v>
      </c>
      <c r="E19" s="69" t="s">
        <v>433</v>
      </c>
      <c r="F19" s="69" t="s">
        <v>434</v>
      </c>
      <c r="G19" s="69" t="s">
        <v>395</v>
      </c>
      <c r="H19" s="69" t="s">
        <v>431</v>
      </c>
      <c r="I19" s="146">
        <v>124150</v>
      </c>
      <c r="J19" s="147" t="s">
        <v>432</v>
      </c>
      <c r="K19" s="69">
        <v>22.4</v>
      </c>
      <c r="L19" s="69">
        <v>26.4</v>
      </c>
      <c r="M19" s="69" t="s">
        <v>385</v>
      </c>
    </row>
    <row r="20" spans="1:13">
      <c r="A20" s="69" t="s">
        <v>427</v>
      </c>
      <c r="B20" s="69" t="s">
        <v>428</v>
      </c>
      <c r="C20" s="69" t="s">
        <v>435</v>
      </c>
      <c r="D20" s="69" t="s">
        <v>436</v>
      </c>
      <c r="E20" s="69" t="s">
        <v>36</v>
      </c>
      <c r="F20" s="69">
        <v>20</v>
      </c>
      <c r="G20" s="69" t="s">
        <v>430</v>
      </c>
      <c r="H20" s="69" t="s">
        <v>431</v>
      </c>
      <c r="I20" s="146">
        <v>44100</v>
      </c>
      <c r="J20" s="147" t="s">
        <v>432</v>
      </c>
      <c r="K20" s="69">
        <v>1</v>
      </c>
      <c r="L20" s="69">
        <v>7.7</v>
      </c>
      <c r="M20" s="69" t="s">
        <v>385</v>
      </c>
    </row>
    <row r="21" spans="1:13">
      <c r="A21" s="69" t="s">
        <v>427</v>
      </c>
      <c r="B21" s="69" t="s">
        <v>428</v>
      </c>
      <c r="C21" s="69" t="s">
        <v>435</v>
      </c>
      <c r="D21" s="69" t="s">
        <v>436</v>
      </c>
      <c r="E21" s="69" t="s">
        <v>36</v>
      </c>
      <c r="F21" s="69">
        <v>20</v>
      </c>
      <c r="G21" s="69" t="s">
        <v>430</v>
      </c>
      <c r="H21" s="69" t="s">
        <v>431</v>
      </c>
      <c r="I21" s="146">
        <v>51500</v>
      </c>
      <c r="J21" s="147" t="s">
        <v>432</v>
      </c>
      <c r="K21" s="69">
        <v>7.7</v>
      </c>
      <c r="L21" s="69">
        <v>17.7</v>
      </c>
      <c r="M21" s="69" t="s">
        <v>385</v>
      </c>
    </row>
    <row r="22" spans="1:13">
      <c r="A22" s="69" t="s">
        <v>427</v>
      </c>
      <c r="B22" s="69" t="s">
        <v>428</v>
      </c>
      <c r="C22" s="69" t="s">
        <v>435</v>
      </c>
      <c r="D22" s="69" t="s">
        <v>436</v>
      </c>
      <c r="E22" s="69" t="s">
        <v>36</v>
      </c>
      <c r="F22" s="69">
        <v>20</v>
      </c>
      <c r="G22" s="69" t="s">
        <v>430</v>
      </c>
      <c r="H22" s="69" t="s">
        <v>431</v>
      </c>
      <c r="I22" s="146">
        <v>58100</v>
      </c>
      <c r="J22" s="147" t="s">
        <v>432</v>
      </c>
      <c r="K22" s="69">
        <v>17.7</v>
      </c>
      <c r="L22" s="69">
        <v>23.7</v>
      </c>
      <c r="M22" s="69" t="s">
        <v>385</v>
      </c>
    </row>
    <row r="23" spans="1:13">
      <c r="A23" s="69" t="s">
        <v>427</v>
      </c>
      <c r="B23" s="69" t="s">
        <v>428</v>
      </c>
      <c r="C23" s="69" t="s">
        <v>435</v>
      </c>
      <c r="D23" s="69" t="s">
        <v>436</v>
      </c>
      <c r="E23" s="69" t="s">
        <v>36</v>
      </c>
      <c r="F23" s="69">
        <v>20</v>
      </c>
      <c r="G23" s="69" t="s">
        <v>430</v>
      </c>
      <c r="H23" s="69" t="s">
        <v>431</v>
      </c>
      <c r="I23" s="146">
        <v>62300</v>
      </c>
      <c r="J23" s="147" t="s">
        <v>432</v>
      </c>
      <c r="K23" s="69">
        <v>23.7</v>
      </c>
      <c r="L23" s="69">
        <v>27.7</v>
      </c>
      <c r="M23" s="69" t="s">
        <v>385</v>
      </c>
    </row>
    <row r="24" spans="1:13">
      <c r="A24" s="69" t="s">
        <v>427</v>
      </c>
      <c r="B24" s="69" t="s">
        <v>428</v>
      </c>
      <c r="C24" s="69" t="s">
        <v>435</v>
      </c>
      <c r="D24" s="69" t="s">
        <v>436</v>
      </c>
      <c r="E24" s="69" t="s">
        <v>36</v>
      </c>
      <c r="F24" s="69">
        <v>20</v>
      </c>
      <c r="G24" s="69" t="s">
        <v>430</v>
      </c>
      <c r="H24" s="69" t="s">
        <v>431</v>
      </c>
      <c r="I24" s="146">
        <v>63300</v>
      </c>
      <c r="J24" s="147" t="s">
        <v>432</v>
      </c>
      <c r="K24" s="69">
        <v>27.7</v>
      </c>
      <c r="L24" s="69">
        <v>28.7</v>
      </c>
      <c r="M24" s="69" t="s">
        <v>385</v>
      </c>
    </row>
    <row r="25" spans="1:13">
      <c r="A25" s="69" t="s">
        <v>427</v>
      </c>
      <c r="B25" s="69" t="s">
        <v>428</v>
      </c>
      <c r="C25" s="69" t="s">
        <v>435</v>
      </c>
      <c r="D25" s="69" t="s">
        <v>436</v>
      </c>
      <c r="E25" s="69" t="s">
        <v>36</v>
      </c>
      <c r="F25" s="69">
        <v>20</v>
      </c>
      <c r="G25" s="69" t="s">
        <v>395</v>
      </c>
      <c r="H25" s="69" t="s">
        <v>431</v>
      </c>
      <c r="I25" s="146">
        <v>57330</v>
      </c>
      <c r="J25" s="147" t="s">
        <v>432</v>
      </c>
      <c r="K25" s="69">
        <v>1</v>
      </c>
      <c r="L25" s="69">
        <v>7.7</v>
      </c>
      <c r="M25" s="69" t="s">
        <v>385</v>
      </c>
    </row>
    <row r="26" spans="1:13">
      <c r="A26" s="69" t="s">
        <v>427</v>
      </c>
      <c r="B26" s="69" t="s">
        <v>428</v>
      </c>
      <c r="C26" s="69" t="s">
        <v>435</v>
      </c>
      <c r="D26" s="69" t="s">
        <v>436</v>
      </c>
      <c r="E26" s="69" t="s">
        <v>36</v>
      </c>
      <c r="F26" s="69">
        <v>20</v>
      </c>
      <c r="G26" s="69" t="s">
        <v>395</v>
      </c>
      <c r="H26" s="69" t="s">
        <v>431</v>
      </c>
      <c r="I26" s="146">
        <v>66950</v>
      </c>
      <c r="J26" s="147" t="s">
        <v>432</v>
      </c>
      <c r="K26" s="69">
        <v>7.7</v>
      </c>
      <c r="L26" s="69">
        <v>17.7</v>
      </c>
      <c r="M26" s="69" t="s">
        <v>385</v>
      </c>
    </row>
    <row r="27" spans="1:13">
      <c r="A27" s="69" t="s">
        <v>427</v>
      </c>
      <c r="B27" s="69" t="s">
        <v>428</v>
      </c>
      <c r="C27" s="69" t="s">
        <v>435</v>
      </c>
      <c r="D27" s="69" t="s">
        <v>436</v>
      </c>
      <c r="E27" s="69" t="s">
        <v>36</v>
      </c>
      <c r="F27" s="69">
        <v>20</v>
      </c>
      <c r="G27" s="69" t="s">
        <v>395</v>
      </c>
      <c r="H27" s="69" t="s">
        <v>431</v>
      </c>
      <c r="I27" s="146">
        <v>75530</v>
      </c>
      <c r="J27" s="147" t="s">
        <v>432</v>
      </c>
      <c r="K27" s="69">
        <v>17.7</v>
      </c>
      <c r="L27" s="69">
        <v>23.7</v>
      </c>
      <c r="M27" s="69" t="s">
        <v>385</v>
      </c>
    </row>
    <row r="28" spans="1:13">
      <c r="A28" s="69" t="s">
        <v>427</v>
      </c>
      <c r="B28" s="69" t="s">
        <v>428</v>
      </c>
      <c r="C28" s="69" t="s">
        <v>435</v>
      </c>
      <c r="D28" s="69" t="s">
        <v>436</v>
      </c>
      <c r="E28" s="69" t="s">
        <v>36</v>
      </c>
      <c r="F28" s="69">
        <v>20</v>
      </c>
      <c r="G28" s="69" t="s">
        <v>395</v>
      </c>
      <c r="H28" s="69" t="s">
        <v>431</v>
      </c>
      <c r="I28" s="146">
        <v>80990</v>
      </c>
      <c r="J28" s="147" t="s">
        <v>432</v>
      </c>
      <c r="K28" s="69">
        <v>23.7</v>
      </c>
      <c r="L28" s="69">
        <v>27.7</v>
      </c>
      <c r="M28" s="69" t="s">
        <v>385</v>
      </c>
    </row>
    <row r="29" spans="1:13">
      <c r="A29" s="69" t="s">
        <v>427</v>
      </c>
      <c r="B29" s="69" t="s">
        <v>428</v>
      </c>
      <c r="C29" s="69" t="s">
        <v>435</v>
      </c>
      <c r="D29" s="69" t="s">
        <v>436</v>
      </c>
      <c r="E29" s="69" t="s">
        <v>36</v>
      </c>
      <c r="F29" s="69">
        <v>20</v>
      </c>
      <c r="G29" s="69" t="s">
        <v>395</v>
      </c>
      <c r="H29" s="69" t="s">
        <v>431</v>
      </c>
      <c r="I29" s="146">
        <v>82290</v>
      </c>
      <c r="J29" s="147" t="s">
        <v>432</v>
      </c>
      <c r="K29" s="69">
        <v>27.7</v>
      </c>
      <c r="L29" s="69">
        <v>28.7</v>
      </c>
      <c r="M29" s="69" t="s">
        <v>385</v>
      </c>
    </row>
    <row r="30" spans="1:13">
      <c r="A30" s="69" t="s">
        <v>427</v>
      </c>
      <c r="B30" s="69" t="s">
        <v>428</v>
      </c>
      <c r="C30" s="69" t="s">
        <v>435</v>
      </c>
      <c r="D30" s="69" t="s">
        <v>436</v>
      </c>
      <c r="E30" s="69" t="s">
        <v>433</v>
      </c>
      <c r="F30" s="69" t="s">
        <v>434</v>
      </c>
      <c r="G30" s="69" t="s">
        <v>430</v>
      </c>
      <c r="H30" s="69" t="s">
        <v>431</v>
      </c>
      <c r="I30" s="146">
        <v>80500</v>
      </c>
      <c r="J30" s="147" t="s">
        <v>432</v>
      </c>
      <c r="K30" s="69">
        <v>1</v>
      </c>
      <c r="L30" s="69">
        <v>15.4</v>
      </c>
      <c r="M30" s="69" t="s">
        <v>385</v>
      </c>
    </row>
    <row r="31" spans="1:13">
      <c r="A31" s="69" t="s">
        <v>427</v>
      </c>
      <c r="B31" s="69" t="s">
        <v>428</v>
      </c>
      <c r="C31" s="69" t="s">
        <v>435</v>
      </c>
      <c r="D31" s="69" t="s">
        <v>436</v>
      </c>
      <c r="E31" s="69" t="s">
        <v>433</v>
      </c>
      <c r="F31" s="69" t="s">
        <v>434</v>
      </c>
      <c r="G31" s="69" t="s">
        <v>430</v>
      </c>
      <c r="H31" s="69" t="s">
        <v>431</v>
      </c>
      <c r="I31" s="146">
        <v>92800</v>
      </c>
      <c r="J31" s="147" t="s">
        <v>432</v>
      </c>
      <c r="K31" s="69">
        <v>15.4</v>
      </c>
      <c r="L31" s="69">
        <v>22.4</v>
      </c>
      <c r="M31" s="69" t="s">
        <v>385</v>
      </c>
    </row>
    <row r="32" spans="1:13">
      <c r="A32" s="69" t="s">
        <v>427</v>
      </c>
      <c r="B32" s="69" t="s">
        <v>428</v>
      </c>
      <c r="C32" s="69" t="s">
        <v>435</v>
      </c>
      <c r="D32" s="69" t="s">
        <v>436</v>
      </c>
      <c r="E32" s="69" t="s">
        <v>433</v>
      </c>
      <c r="F32" s="69" t="s">
        <v>434</v>
      </c>
      <c r="G32" s="69" t="s">
        <v>430</v>
      </c>
      <c r="H32" s="69" t="s">
        <v>431</v>
      </c>
      <c r="I32" s="146">
        <v>92800</v>
      </c>
      <c r="J32" s="147" t="s">
        <v>432</v>
      </c>
      <c r="K32" s="69">
        <v>22.4</v>
      </c>
      <c r="L32" s="69">
        <v>26.4</v>
      </c>
      <c r="M32" s="69" t="s">
        <v>385</v>
      </c>
    </row>
    <row r="33" spans="1:13">
      <c r="A33" s="69" t="s">
        <v>427</v>
      </c>
      <c r="B33" s="69" t="s">
        <v>428</v>
      </c>
      <c r="C33" s="69" t="s">
        <v>435</v>
      </c>
      <c r="D33" s="69" t="s">
        <v>436</v>
      </c>
      <c r="E33" s="69" t="s">
        <v>433</v>
      </c>
      <c r="F33" s="69" t="s">
        <v>434</v>
      </c>
      <c r="G33" s="69" t="s">
        <v>395</v>
      </c>
      <c r="H33" s="69" t="s">
        <v>431</v>
      </c>
      <c r="I33" s="146">
        <v>104650</v>
      </c>
      <c r="J33" s="147" t="s">
        <v>432</v>
      </c>
      <c r="K33" s="69">
        <v>1</v>
      </c>
      <c r="L33" s="69">
        <v>15.4</v>
      </c>
      <c r="M33" s="69" t="s">
        <v>385</v>
      </c>
    </row>
    <row r="34" spans="1:13">
      <c r="A34" s="69" t="s">
        <v>427</v>
      </c>
      <c r="B34" s="69" t="s">
        <v>428</v>
      </c>
      <c r="C34" s="69" t="s">
        <v>435</v>
      </c>
      <c r="D34" s="69" t="s">
        <v>436</v>
      </c>
      <c r="E34" s="69" t="s">
        <v>433</v>
      </c>
      <c r="F34" s="69" t="s">
        <v>434</v>
      </c>
      <c r="G34" s="69" t="s">
        <v>395</v>
      </c>
      <c r="H34" s="69" t="s">
        <v>431</v>
      </c>
      <c r="I34" s="146">
        <v>120640</v>
      </c>
      <c r="J34" s="147" t="s">
        <v>432</v>
      </c>
      <c r="K34" s="69">
        <v>15.4</v>
      </c>
      <c r="L34" s="69">
        <v>22.4</v>
      </c>
      <c r="M34" s="69" t="s">
        <v>385</v>
      </c>
    </row>
    <row r="35" spans="1:13">
      <c r="A35" s="69" t="s">
        <v>427</v>
      </c>
      <c r="B35" s="69" t="s">
        <v>428</v>
      </c>
      <c r="C35" s="69" t="s">
        <v>435</v>
      </c>
      <c r="D35" s="69" t="s">
        <v>436</v>
      </c>
      <c r="E35" s="69" t="s">
        <v>433</v>
      </c>
      <c r="F35" s="69" t="s">
        <v>434</v>
      </c>
      <c r="G35" s="69" t="s">
        <v>395</v>
      </c>
      <c r="H35" s="69" t="s">
        <v>431</v>
      </c>
      <c r="I35" s="146">
        <v>120640</v>
      </c>
      <c r="J35" s="147" t="s">
        <v>432</v>
      </c>
      <c r="K35" s="69">
        <v>22.4</v>
      </c>
      <c r="L35" s="69">
        <v>26.4</v>
      </c>
      <c r="M35" s="69" t="s">
        <v>385</v>
      </c>
    </row>
    <row r="37" spans="1:13">
      <c r="A37" s="148" t="s">
        <v>437</v>
      </c>
    </row>
    <row r="38" spans="1:13">
      <c r="A38" s="142" t="s">
        <v>438</v>
      </c>
    </row>
    <row r="39" spans="1:13">
      <c r="A39" s="142" t="s">
        <v>439</v>
      </c>
    </row>
    <row r="40" spans="1:13">
      <c r="A40" t="s">
        <v>440</v>
      </c>
    </row>
    <row r="41" spans="1:13">
      <c r="A41" t="s">
        <v>441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0403-6868-477D-878C-7C69C4FB7470}">
  <dimension ref="A2:J55"/>
  <sheetViews>
    <sheetView workbookViewId="0">
      <selection activeCell="M13" sqref="M13"/>
    </sheetView>
  </sheetViews>
  <sheetFormatPr defaultRowHeight="15"/>
  <cols>
    <col min="1" max="1" width="8.85546875" style="3" customWidth="1"/>
    <col min="2" max="2" width="11.42578125" style="3" customWidth="1"/>
    <col min="3" max="3" width="24" style="3" bestFit="1" customWidth="1"/>
    <col min="4" max="4" width="9.85546875" style="3" bestFit="1" customWidth="1"/>
    <col min="5" max="7" width="15.140625" style="3" customWidth="1"/>
    <col min="8" max="8" width="12.42578125" style="3" customWidth="1"/>
    <col min="9" max="9" width="15.85546875" style="3" customWidth="1"/>
    <col min="10" max="10" width="14.7109375" style="3" customWidth="1"/>
  </cols>
  <sheetData>
    <row r="2" spans="1:10" ht="15.75" thickBot="1">
      <c r="C2" s="2" t="s">
        <v>303</v>
      </c>
      <c r="D2" s="2"/>
      <c r="E2" s="283" t="s">
        <v>304</v>
      </c>
      <c r="F2" s="283"/>
      <c r="G2" s="283"/>
      <c r="H2" s="283"/>
      <c r="I2" s="283"/>
      <c r="J2" s="283"/>
    </row>
    <row r="3" spans="1:10">
      <c r="A3" s="284" t="s">
        <v>305</v>
      </c>
      <c r="B3" s="284" t="s">
        <v>306</v>
      </c>
      <c r="C3" s="284" t="s">
        <v>307</v>
      </c>
      <c r="D3" s="284" t="s">
        <v>308</v>
      </c>
      <c r="E3" s="286" t="s">
        <v>309</v>
      </c>
      <c r="F3" s="286"/>
      <c r="G3" s="287"/>
      <c r="H3" s="288" t="s">
        <v>262</v>
      </c>
      <c r="I3" s="289"/>
      <c r="J3" s="290"/>
    </row>
    <row r="4" spans="1:10" ht="15.75" thickBot="1">
      <c r="A4" s="285"/>
      <c r="B4" s="285"/>
      <c r="C4" s="285"/>
      <c r="D4" s="285"/>
      <c r="E4" s="4" t="s">
        <v>21</v>
      </c>
      <c r="F4" s="5" t="s">
        <v>22</v>
      </c>
      <c r="G4" s="6" t="s">
        <v>23</v>
      </c>
      <c r="H4" s="4" t="s">
        <v>21</v>
      </c>
      <c r="I4" s="5" t="s">
        <v>22</v>
      </c>
      <c r="J4" s="6" t="s">
        <v>23</v>
      </c>
    </row>
    <row r="5" spans="1:10" ht="16.5" thickTop="1" thickBot="1">
      <c r="A5" s="99" t="s">
        <v>310</v>
      </c>
      <c r="B5" s="99" t="s">
        <v>311</v>
      </c>
      <c r="C5" s="99" t="s">
        <v>312</v>
      </c>
      <c r="D5" s="99" t="s">
        <v>313</v>
      </c>
      <c r="E5" s="131">
        <v>50</v>
      </c>
      <c r="F5" s="122">
        <v>375</v>
      </c>
      <c r="G5" s="123">
        <v>375</v>
      </c>
      <c r="H5" s="265"/>
      <c r="I5" s="266"/>
      <c r="J5" s="267"/>
    </row>
    <row r="6" spans="1:10" ht="15.75" thickBot="1">
      <c r="A6" s="99" t="s">
        <v>310</v>
      </c>
      <c r="B6" s="99" t="s">
        <v>280</v>
      </c>
      <c r="C6" s="99" t="s">
        <v>312</v>
      </c>
      <c r="D6" s="99" t="s">
        <v>314</v>
      </c>
      <c r="E6" s="115">
        <f>E5+25</f>
        <v>75</v>
      </c>
      <c r="F6" s="97">
        <f>F5+50</f>
        <v>425</v>
      </c>
      <c r="G6" s="98">
        <f>G5+50</f>
        <v>425</v>
      </c>
      <c r="H6" s="132">
        <v>75</v>
      </c>
      <c r="I6" s="133">
        <v>425</v>
      </c>
      <c r="J6" s="134">
        <v>425</v>
      </c>
    </row>
    <row r="7" spans="1:10" ht="15.75" thickBot="1">
      <c r="A7" s="99" t="s">
        <v>315</v>
      </c>
      <c r="B7" s="99" t="s">
        <v>280</v>
      </c>
      <c r="C7" s="99" t="s">
        <v>316</v>
      </c>
      <c r="D7" s="99" t="s">
        <v>271</v>
      </c>
      <c r="E7" s="115">
        <v>100</v>
      </c>
      <c r="F7" s="97">
        <v>475</v>
      </c>
      <c r="G7" s="98">
        <v>475</v>
      </c>
      <c r="H7" s="268"/>
      <c r="I7" s="269"/>
      <c r="J7" s="270"/>
    </row>
    <row r="8" spans="1:10" ht="15.75" thickBot="1">
      <c r="A8" s="99" t="s">
        <v>310</v>
      </c>
      <c r="B8" s="99" t="s">
        <v>317</v>
      </c>
      <c r="C8" s="99" t="s">
        <v>318</v>
      </c>
      <c r="D8" s="99" t="s">
        <v>313</v>
      </c>
      <c r="E8" s="114">
        <v>50</v>
      </c>
      <c r="F8" s="7">
        <v>100</v>
      </c>
      <c r="G8" s="8">
        <v>100</v>
      </c>
      <c r="H8" s="271"/>
      <c r="I8" s="272"/>
      <c r="J8" s="273"/>
    </row>
    <row r="9" spans="1:10" ht="15.75" thickBot="1">
      <c r="A9" s="99" t="s">
        <v>272</v>
      </c>
      <c r="B9" s="99" t="s">
        <v>273</v>
      </c>
      <c r="C9" s="99" t="s">
        <v>274</v>
      </c>
      <c r="D9" s="99" t="s">
        <v>313</v>
      </c>
      <c r="E9" s="9">
        <v>100</v>
      </c>
      <c r="F9" s="103">
        <v>300</v>
      </c>
      <c r="G9" s="104">
        <v>300</v>
      </c>
      <c r="H9" s="271"/>
      <c r="I9" s="272"/>
      <c r="J9" s="273"/>
    </row>
    <row r="10" spans="1:10" ht="15.75" thickBot="1">
      <c r="A10" s="99" t="s">
        <v>272</v>
      </c>
      <c r="B10" s="99" t="s">
        <v>273</v>
      </c>
      <c r="C10" s="99" t="s">
        <v>275</v>
      </c>
      <c r="D10" s="99" t="s">
        <v>313</v>
      </c>
      <c r="E10" s="9">
        <v>50</v>
      </c>
      <c r="F10" s="103">
        <v>100</v>
      </c>
      <c r="G10" s="104">
        <v>100</v>
      </c>
      <c r="H10" s="271"/>
      <c r="I10" s="272"/>
      <c r="J10" s="273"/>
    </row>
    <row r="11" spans="1:10" ht="15.75" thickBot="1">
      <c r="A11" s="99" t="s">
        <v>272</v>
      </c>
      <c r="B11" s="99" t="s">
        <v>273</v>
      </c>
      <c r="C11" s="99" t="s">
        <v>276</v>
      </c>
      <c r="D11" s="99" t="s">
        <v>313</v>
      </c>
      <c r="E11" s="124">
        <v>125</v>
      </c>
      <c r="F11" s="125">
        <v>225</v>
      </c>
      <c r="G11" s="126">
        <v>225</v>
      </c>
      <c r="H11" s="274"/>
      <c r="I11" s="275"/>
      <c r="J11" s="276"/>
    </row>
    <row r="12" spans="1:10" ht="16.5" thickTop="1" thickBot="1">
      <c r="A12" s="99" t="s">
        <v>277</v>
      </c>
      <c r="B12" s="99" t="s">
        <v>278</v>
      </c>
      <c r="C12" s="99" t="s">
        <v>279</v>
      </c>
      <c r="D12" s="99" t="s">
        <v>314</v>
      </c>
      <c r="E12" s="101">
        <v>155</v>
      </c>
      <c r="F12" s="95">
        <v>275</v>
      </c>
      <c r="G12" s="95">
        <v>275</v>
      </c>
      <c r="H12" s="95">
        <v>205</v>
      </c>
      <c r="I12" s="95">
        <v>350</v>
      </c>
      <c r="J12" s="96">
        <v>350</v>
      </c>
    </row>
    <row r="13" spans="1:10" ht="15.75" thickBot="1">
      <c r="A13" s="99" t="s">
        <v>319</v>
      </c>
      <c r="B13" s="99" t="s">
        <v>311</v>
      </c>
      <c r="C13" s="99" t="s">
        <v>320</v>
      </c>
      <c r="D13" s="99" t="s">
        <v>314</v>
      </c>
      <c r="E13" s="102">
        <v>150</v>
      </c>
      <c r="F13" s="103">
        <v>150</v>
      </c>
      <c r="G13" s="103">
        <v>150</v>
      </c>
      <c r="H13" s="103">
        <v>175</v>
      </c>
      <c r="I13" s="103">
        <v>200</v>
      </c>
      <c r="J13" s="104">
        <v>200</v>
      </c>
    </row>
    <row r="14" spans="1:10" ht="15.75" thickBot="1">
      <c r="A14" s="99" t="s">
        <v>319</v>
      </c>
      <c r="B14" s="99" t="s">
        <v>311</v>
      </c>
      <c r="C14" s="99" t="s">
        <v>321</v>
      </c>
      <c r="D14" s="99" t="s">
        <v>314</v>
      </c>
      <c r="E14" s="102">
        <v>100</v>
      </c>
      <c r="F14" s="103">
        <v>150</v>
      </c>
      <c r="G14" s="103">
        <v>150</v>
      </c>
      <c r="H14" s="103">
        <v>125</v>
      </c>
      <c r="I14" s="103">
        <v>200</v>
      </c>
      <c r="J14" s="104">
        <v>200</v>
      </c>
    </row>
    <row r="15" spans="1:10" ht="15.75" thickBot="1">
      <c r="A15" s="99" t="s">
        <v>319</v>
      </c>
      <c r="B15" s="99" t="s">
        <v>311</v>
      </c>
      <c r="C15" s="99" t="s">
        <v>322</v>
      </c>
      <c r="D15" s="99" t="s">
        <v>314</v>
      </c>
      <c r="E15" s="102">
        <v>225</v>
      </c>
      <c r="F15" s="103">
        <v>350</v>
      </c>
      <c r="G15" s="103">
        <v>350</v>
      </c>
      <c r="H15" s="103">
        <v>250</v>
      </c>
      <c r="I15" s="103">
        <v>400</v>
      </c>
      <c r="J15" s="104">
        <v>400</v>
      </c>
    </row>
    <row r="16" spans="1:10" ht="15.75" thickBot="1">
      <c r="A16" s="99" t="s">
        <v>319</v>
      </c>
      <c r="B16" s="99" t="s">
        <v>311</v>
      </c>
      <c r="C16" s="99" t="s">
        <v>323</v>
      </c>
      <c r="D16" s="99" t="s">
        <v>314</v>
      </c>
      <c r="E16" s="102">
        <v>150</v>
      </c>
      <c r="F16" s="103">
        <v>200</v>
      </c>
      <c r="G16" s="103">
        <v>200</v>
      </c>
      <c r="H16" s="103">
        <v>175</v>
      </c>
      <c r="I16" s="103">
        <v>250</v>
      </c>
      <c r="J16" s="104">
        <v>250</v>
      </c>
    </row>
    <row r="17" spans="1:10" ht="15.75" thickBot="1">
      <c r="A17" s="99" t="s">
        <v>319</v>
      </c>
      <c r="B17" s="99" t="s">
        <v>311</v>
      </c>
      <c r="C17" s="99" t="s">
        <v>324</v>
      </c>
      <c r="D17" s="99" t="s">
        <v>314</v>
      </c>
      <c r="E17" s="102">
        <v>225</v>
      </c>
      <c r="F17" s="103">
        <v>350</v>
      </c>
      <c r="G17" s="103">
        <v>350</v>
      </c>
      <c r="H17" s="103">
        <v>250</v>
      </c>
      <c r="I17" s="103">
        <v>400</v>
      </c>
      <c r="J17" s="104">
        <v>400</v>
      </c>
    </row>
    <row r="18" spans="1:10" ht="15.75" thickBot="1">
      <c r="A18" s="99" t="s">
        <v>319</v>
      </c>
      <c r="B18" s="99" t="s">
        <v>311</v>
      </c>
      <c r="C18" s="99" t="s">
        <v>325</v>
      </c>
      <c r="D18" s="99" t="s">
        <v>314</v>
      </c>
      <c r="E18" s="102">
        <v>225</v>
      </c>
      <c r="F18" s="103">
        <v>350</v>
      </c>
      <c r="G18" s="103">
        <v>350</v>
      </c>
      <c r="H18" s="103">
        <v>250</v>
      </c>
      <c r="I18" s="103">
        <v>400</v>
      </c>
      <c r="J18" s="104">
        <v>400</v>
      </c>
    </row>
    <row r="19" spans="1:10" ht="15.75" thickBot="1">
      <c r="A19" s="99" t="s">
        <v>319</v>
      </c>
      <c r="B19" s="99" t="s">
        <v>311</v>
      </c>
      <c r="C19" s="99" t="s">
        <v>326</v>
      </c>
      <c r="D19" s="99" t="s">
        <v>314</v>
      </c>
      <c r="E19" s="135">
        <v>225</v>
      </c>
      <c r="F19" s="136">
        <v>350</v>
      </c>
      <c r="G19" s="136">
        <v>350</v>
      </c>
      <c r="H19" s="136">
        <v>250</v>
      </c>
      <c r="I19" s="136">
        <v>400</v>
      </c>
      <c r="J19" s="107">
        <v>400</v>
      </c>
    </row>
    <row r="20" spans="1:10" ht="15.75" thickBot="1">
      <c r="A20" s="99" t="s">
        <v>277</v>
      </c>
      <c r="B20" s="99" t="s">
        <v>280</v>
      </c>
      <c r="C20" s="99" t="s">
        <v>281</v>
      </c>
      <c r="D20" s="99" t="s">
        <v>314</v>
      </c>
      <c r="E20" s="102">
        <v>225</v>
      </c>
      <c r="F20" s="103">
        <v>350</v>
      </c>
      <c r="G20" s="103">
        <v>350</v>
      </c>
      <c r="H20" s="103">
        <v>250</v>
      </c>
      <c r="I20" s="103">
        <v>400</v>
      </c>
      <c r="J20" s="104">
        <v>400</v>
      </c>
    </row>
    <row r="21" spans="1:10" ht="15.75" thickBot="1">
      <c r="A21" s="99" t="s">
        <v>319</v>
      </c>
      <c r="B21" s="99" t="s">
        <v>311</v>
      </c>
      <c r="C21" s="99" t="s">
        <v>327</v>
      </c>
      <c r="D21" s="99" t="s">
        <v>314</v>
      </c>
      <c r="E21" s="102">
        <v>225</v>
      </c>
      <c r="F21" s="103">
        <v>350</v>
      </c>
      <c r="G21" s="103">
        <v>350</v>
      </c>
      <c r="H21" s="103">
        <v>250</v>
      </c>
      <c r="I21" s="103">
        <v>400</v>
      </c>
      <c r="J21" s="104">
        <v>400</v>
      </c>
    </row>
    <row r="22" spans="1:10" ht="15.75" thickBot="1">
      <c r="A22" s="99" t="s">
        <v>319</v>
      </c>
      <c r="B22" s="99" t="s">
        <v>311</v>
      </c>
      <c r="C22" s="99" t="s">
        <v>328</v>
      </c>
      <c r="D22" s="99" t="s">
        <v>314</v>
      </c>
      <c r="E22" s="102">
        <v>225</v>
      </c>
      <c r="F22" s="103">
        <v>350</v>
      </c>
      <c r="G22" s="103">
        <v>350</v>
      </c>
      <c r="H22" s="103">
        <v>250</v>
      </c>
      <c r="I22" s="103">
        <v>400</v>
      </c>
      <c r="J22" s="104">
        <v>400</v>
      </c>
    </row>
    <row r="23" spans="1:10" ht="15.75" thickBot="1">
      <c r="A23" s="99" t="s">
        <v>272</v>
      </c>
      <c r="B23" s="99" t="s">
        <v>282</v>
      </c>
      <c r="C23" s="99" t="s">
        <v>283</v>
      </c>
      <c r="D23" s="99" t="s">
        <v>314</v>
      </c>
      <c r="E23" s="102">
        <v>200</v>
      </c>
      <c r="F23" s="103">
        <v>300</v>
      </c>
      <c r="G23" s="103">
        <v>300</v>
      </c>
      <c r="H23" s="103">
        <v>225</v>
      </c>
      <c r="I23" s="103">
        <v>350</v>
      </c>
      <c r="J23" s="104">
        <v>350</v>
      </c>
    </row>
    <row r="24" spans="1:10" ht="15.75" thickBot="1">
      <c r="A24" s="99" t="s">
        <v>284</v>
      </c>
      <c r="B24" s="99" t="s">
        <v>285</v>
      </c>
      <c r="C24" s="99" t="s">
        <v>286</v>
      </c>
      <c r="D24" s="99" t="s">
        <v>314</v>
      </c>
      <c r="E24" s="102">
        <v>150</v>
      </c>
      <c r="F24" s="103">
        <v>225</v>
      </c>
      <c r="G24" s="103">
        <v>225</v>
      </c>
      <c r="H24" s="103">
        <v>175</v>
      </c>
      <c r="I24" s="103">
        <v>275</v>
      </c>
      <c r="J24" s="104">
        <v>275</v>
      </c>
    </row>
    <row r="25" spans="1:10" ht="15.75" thickBot="1">
      <c r="A25" s="99" t="s">
        <v>319</v>
      </c>
      <c r="B25" s="99" t="s">
        <v>329</v>
      </c>
      <c r="C25" s="99" t="s">
        <v>330</v>
      </c>
      <c r="D25" s="99" t="s">
        <v>314</v>
      </c>
      <c r="E25" s="102">
        <v>225</v>
      </c>
      <c r="F25" s="103">
        <v>375</v>
      </c>
      <c r="G25" s="103">
        <v>375</v>
      </c>
      <c r="H25" s="103">
        <v>250</v>
      </c>
      <c r="I25" s="103">
        <v>425</v>
      </c>
      <c r="J25" s="104">
        <v>425</v>
      </c>
    </row>
    <row r="26" spans="1:10" ht="15.75" thickBot="1">
      <c r="A26" s="99" t="s">
        <v>277</v>
      </c>
      <c r="B26" s="99" t="s">
        <v>287</v>
      </c>
      <c r="C26" s="99" t="s">
        <v>288</v>
      </c>
      <c r="D26" s="99" t="s">
        <v>314</v>
      </c>
      <c r="E26" s="102">
        <v>225</v>
      </c>
      <c r="F26" s="103">
        <v>350</v>
      </c>
      <c r="G26" s="103">
        <v>350</v>
      </c>
      <c r="H26" s="103">
        <v>250</v>
      </c>
      <c r="I26" s="103">
        <v>400</v>
      </c>
      <c r="J26" s="104">
        <v>400</v>
      </c>
    </row>
    <row r="27" spans="1:10" ht="15.75" thickBot="1">
      <c r="A27" s="99" t="s">
        <v>277</v>
      </c>
      <c r="B27" s="99" t="s">
        <v>287</v>
      </c>
      <c r="C27" s="99" t="s">
        <v>289</v>
      </c>
      <c r="D27" s="99" t="s">
        <v>314</v>
      </c>
      <c r="E27" s="102">
        <v>225</v>
      </c>
      <c r="F27" s="103">
        <v>300</v>
      </c>
      <c r="G27" s="103">
        <v>300</v>
      </c>
      <c r="H27" s="103">
        <v>250</v>
      </c>
      <c r="I27" s="103">
        <v>350</v>
      </c>
      <c r="J27" s="104">
        <v>350</v>
      </c>
    </row>
    <row r="28" spans="1:10" ht="15.75" thickBot="1">
      <c r="A28" s="99" t="s">
        <v>319</v>
      </c>
      <c r="B28" s="99" t="s">
        <v>331</v>
      </c>
      <c r="C28" s="99" t="s">
        <v>332</v>
      </c>
      <c r="D28" s="99" t="s">
        <v>314</v>
      </c>
      <c r="E28" s="102">
        <v>175</v>
      </c>
      <c r="F28" s="103">
        <v>400</v>
      </c>
      <c r="G28" s="103">
        <v>400</v>
      </c>
      <c r="H28" s="103">
        <v>200</v>
      </c>
      <c r="I28" s="103">
        <v>450</v>
      </c>
      <c r="J28" s="104">
        <v>450</v>
      </c>
    </row>
    <row r="29" spans="1:10" ht="15.75" thickBot="1">
      <c r="A29" s="99" t="s">
        <v>319</v>
      </c>
      <c r="B29" s="99" t="s">
        <v>331</v>
      </c>
      <c r="C29" s="99" t="s">
        <v>333</v>
      </c>
      <c r="D29" s="99" t="s">
        <v>314</v>
      </c>
      <c r="E29" s="102">
        <v>325</v>
      </c>
      <c r="F29" s="103">
        <v>550</v>
      </c>
      <c r="G29" s="103">
        <v>550</v>
      </c>
      <c r="H29" s="103">
        <v>350</v>
      </c>
      <c r="I29" s="103">
        <v>600</v>
      </c>
      <c r="J29" s="104">
        <v>600</v>
      </c>
    </row>
    <row r="30" spans="1:10" ht="15.75" thickBot="1">
      <c r="A30" s="128" t="s">
        <v>277</v>
      </c>
      <c r="B30" s="128" t="s">
        <v>290</v>
      </c>
      <c r="C30" s="128" t="s">
        <v>291</v>
      </c>
      <c r="D30" s="128" t="s">
        <v>314</v>
      </c>
      <c r="E30" s="102">
        <v>175</v>
      </c>
      <c r="F30" s="103">
        <v>375</v>
      </c>
      <c r="G30" s="103">
        <v>375</v>
      </c>
      <c r="H30" s="103">
        <v>200</v>
      </c>
      <c r="I30" s="103">
        <v>425</v>
      </c>
      <c r="J30" s="104">
        <v>425</v>
      </c>
    </row>
    <row r="31" spans="1:10" ht="15.75" thickBot="1">
      <c r="A31" s="99" t="s">
        <v>319</v>
      </c>
      <c r="B31" s="99" t="s">
        <v>334</v>
      </c>
      <c r="C31" s="99" t="s">
        <v>335</v>
      </c>
      <c r="D31" s="99" t="s">
        <v>314</v>
      </c>
      <c r="E31" s="102">
        <v>225</v>
      </c>
      <c r="F31" s="103">
        <v>450</v>
      </c>
      <c r="G31" s="103">
        <v>450</v>
      </c>
      <c r="H31" s="103">
        <v>250</v>
      </c>
      <c r="I31" s="103">
        <v>500</v>
      </c>
      <c r="J31" s="104">
        <v>500</v>
      </c>
    </row>
    <row r="32" spans="1:10" ht="15.75" thickBot="1">
      <c r="A32" s="99" t="s">
        <v>277</v>
      </c>
      <c r="B32" s="99" t="s">
        <v>292</v>
      </c>
      <c r="C32" s="99" t="s">
        <v>293</v>
      </c>
      <c r="D32" s="99" t="s">
        <v>314</v>
      </c>
      <c r="E32" s="102">
        <v>250</v>
      </c>
      <c r="F32" s="103">
        <v>500</v>
      </c>
      <c r="G32" s="103">
        <v>500</v>
      </c>
      <c r="H32" s="103">
        <v>275</v>
      </c>
      <c r="I32" s="103">
        <v>550</v>
      </c>
      <c r="J32" s="104">
        <v>550</v>
      </c>
    </row>
    <row r="33" spans="1:10" ht="15.75" thickBot="1">
      <c r="A33" s="99" t="s">
        <v>319</v>
      </c>
      <c r="B33" s="99" t="s">
        <v>336</v>
      </c>
      <c r="C33" s="99" t="s">
        <v>337</v>
      </c>
      <c r="D33" s="99" t="s">
        <v>314</v>
      </c>
      <c r="E33" s="102">
        <v>250</v>
      </c>
      <c r="F33" s="103">
        <v>525</v>
      </c>
      <c r="G33" s="103">
        <v>525</v>
      </c>
      <c r="H33" s="103">
        <v>275</v>
      </c>
      <c r="I33" s="103">
        <v>575</v>
      </c>
      <c r="J33" s="104">
        <v>575</v>
      </c>
    </row>
    <row r="34" spans="1:10" ht="15.75" thickBot="1">
      <c r="A34" s="99" t="s">
        <v>319</v>
      </c>
      <c r="B34" s="99" t="s">
        <v>336</v>
      </c>
      <c r="C34" s="99" t="s">
        <v>294</v>
      </c>
      <c r="D34" s="99" t="s">
        <v>314</v>
      </c>
      <c r="E34" s="102">
        <v>375</v>
      </c>
      <c r="F34" s="103">
        <v>650</v>
      </c>
      <c r="G34" s="103">
        <v>650</v>
      </c>
      <c r="H34" s="103">
        <v>400</v>
      </c>
      <c r="I34" s="103">
        <v>700</v>
      </c>
      <c r="J34" s="104">
        <v>700</v>
      </c>
    </row>
    <row r="35" spans="1:10" ht="15.75" thickBot="1">
      <c r="A35" s="99" t="s">
        <v>319</v>
      </c>
      <c r="B35" s="99" t="s">
        <v>338</v>
      </c>
      <c r="C35" s="99" t="s">
        <v>338</v>
      </c>
      <c r="D35" s="99" t="s">
        <v>314</v>
      </c>
      <c r="E35" s="102">
        <v>325</v>
      </c>
      <c r="F35" s="103">
        <v>850</v>
      </c>
      <c r="G35" s="103">
        <v>850</v>
      </c>
      <c r="H35" s="103">
        <v>350</v>
      </c>
      <c r="I35" s="103">
        <v>900</v>
      </c>
      <c r="J35" s="104">
        <v>900</v>
      </c>
    </row>
    <row r="36" spans="1:10" ht="15.75" thickBot="1">
      <c r="A36" s="99" t="s">
        <v>277</v>
      </c>
      <c r="B36" s="99" t="s">
        <v>295</v>
      </c>
      <c r="C36" s="99" t="s">
        <v>296</v>
      </c>
      <c r="D36" s="99" t="s">
        <v>314</v>
      </c>
      <c r="E36" s="102">
        <v>425</v>
      </c>
      <c r="F36" s="103">
        <v>900</v>
      </c>
      <c r="G36" s="103">
        <v>900</v>
      </c>
      <c r="H36" s="103">
        <v>450</v>
      </c>
      <c r="I36" s="103">
        <v>950</v>
      </c>
      <c r="J36" s="104">
        <v>950</v>
      </c>
    </row>
    <row r="37" spans="1:10" ht="15.75" thickBot="1">
      <c r="A37" s="99" t="s">
        <v>277</v>
      </c>
      <c r="B37" s="99" t="s">
        <v>295</v>
      </c>
      <c r="C37" s="99" t="s">
        <v>297</v>
      </c>
      <c r="D37" s="99" t="s">
        <v>314</v>
      </c>
      <c r="E37" s="102">
        <v>425</v>
      </c>
      <c r="F37" s="103">
        <v>900</v>
      </c>
      <c r="G37" s="103">
        <v>900</v>
      </c>
      <c r="H37" s="103">
        <v>450</v>
      </c>
      <c r="I37" s="103">
        <v>950</v>
      </c>
      <c r="J37" s="104">
        <v>950</v>
      </c>
    </row>
    <row r="38" spans="1:10" ht="15.75" thickBot="1">
      <c r="A38" s="100" t="s">
        <v>298</v>
      </c>
      <c r="B38" s="100" t="s">
        <v>295</v>
      </c>
      <c r="C38" s="100" t="s">
        <v>299</v>
      </c>
      <c r="D38" s="100" t="s">
        <v>314</v>
      </c>
      <c r="E38" s="127">
        <v>1150</v>
      </c>
      <c r="F38" s="125">
        <v>2200</v>
      </c>
      <c r="G38" s="125">
        <v>2200</v>
      </c>
      <c r="H38" s="125">
        <v>1175</v>
      </c>
      <c r="I38" s="125">
        <v>2250</v>
      </c>
      <c r="J38" s="126">
        <v>2250</v>
      </c>
    </row>
    <row r="39" spans="1:10" ht="16.5" thickTop="1" thickBot="1">
      <c r="A39" s="129" t="s">
        <v>298</v>
      </c>
      <c r="B39" s="129" t="s">
        <v>295</v>
      </c>
      <c r="C39" s="129" t="s">
        <v>299</v>
      </c>
      <c r="D39" s="129" t="s">
        <v>271</v>
      </c>
      <c r="E39" s="113">
        <v>1000</v>
      </c>
      <c r="F39" s="95">
        <v>2100</v>
      </c>
      <c r="G39" s="95">
        <v>2100</v>
      </c>
      <c r="H39" s="277"/>
      <c r="I39" s="277"/>
      <c r="J39" s="278"/>
    </row>
    <row r="40" spans="1:10" ht="15.75" thickBot="1">
      <c r="A40" s="99" t="s">
        <v>339</v>
      </c>
      <c r="B40" s="99" t="s">
        <v>338</v>
      </c>
      <c r="C40" s="99" t="s">
        <v>338</v>
      </c>
      <c r="D40" s="99" t="s">
        <v>271</v>
      </c>
      <c r="E40" s="9">
        <v>750</v>
      </c>
      <c r="F40" s="103">
        <v>965</v>
      </c>
      <c r="G40" s="103">
        <v>965</v>
      </c>
      <c r="H40" s="279"/>
      <c r="I40" s="279"/>
      <c r="J40" s="280"/>
    </row>
    <row r="41" spans="1:10" ht="15.75" thickBot="1">
      <c r="A41" s="99" t="s">
        <v>270</v>
      </c>
      <c r="B41" s="99" t="s">
        <v>300</v>
      </c>
      <c r="C41" s="99" t="s">
        <v>301</v>
      </c>
      <c r="D41" s="99" t="s">
        <v>271</v>
      </c>
      <c r="E41" s="9">
        <v>75</v>
      </c>
      <c r="F41" s="103">
        <v>125</v>
      </c>
      <c r="G41" s="103">
        <v>125</v>
      </c>
      <c r="H41" s="279"/>
      <c r="I41" s="279"/>
      <c r="J41" s="280"/>
    </row>
    <row r="42" spans="1:10" ht="15.75" thickBot="1">
      <c r="A42" s="99" t="s">
        <v>270</v>
      </c>
      <c r="B42" s="99" t="s">
        <v>300</v>
      </c>
      <c r="C42" s="99" t="s">
        <v>302</v>
      </c>
      <c r="D42" s="99" t="s">
        <v>271</v>
      </c>
      <c r="E42" s="9">
        <v>100</v>
      </c>
      <c r="F42" s="103">
        <v>200</v>
      </c>
      <c r="G42" s="103">
        <v>200</v>
      </c>
      <c r="H42" s="279"/>
      <c r="I42" s="279"/>
      <c r="J42" s="280"/>
    </row>
    <row r="43" spans="1:10" ht="15.75" thickBot="1">
      <c r="A43" s="99" t="s">
        <v>310</v>
      </c>
      <c r="B43" s="99" t="s">
        <v>278</v>
      </c>
      <c r="C43" s="99" t="s">
        <v>340</v>
      </c>
      <c r="D43" s="99" t="s">
        <v>271</v>
      </c>
      <c r="E43" s="9">
        <v>100</v>
      </c>
      <c r="F43" s="103">
        <v>200</v>
      </c>
      <c r="G43" s="103">
        <v>200</v>
      </c>
      <c r="H43" s="279"/>
      <c r="I43" s="279"/>
      <c r="J43" s="280"/>
    </row>
    <row r="44" spans="1:10" ht="15.75" thickBot="1">
      <c r="A44" s="130" t="s">
        <v>277</v>
      </c>
      <c r="B44" s="130" t="s">
        <v>282</v>
      </c>
      <c r="C44" s="130" t="s">
        <v>24</v>
      </c>
      <c r="D44" s="99" t="s">
        <v>271</v>
      </c>
      <c r="E44" s="9">
        <v>225</v>
      </c>
      <c r="F44" s="103">
        <v>350</v>
      </c>
      <c r="G44" s="103">
        <v>350</v>
      </c>
      <c r="H44" s="279"/>
      <c r="I44" s="279"/>
      <c r="J44" s="280"/>
    </row>
    <row r="45" spans="1:10" ht="15.75" thickBot="1">
      <c r="A45" s="130" t="s">
        <v>277</v>
      </c>
      <c r="B45" s="130" t="s">
        <v>282</v>
      </c>
      <c r="C45" s="130" t="s">
        <v>25</v>
      </c>
      <c r="D45" s="99" t="s">
        <v>271</v>
      </c>
      <c r="E45" s="9">
        <v>225</v>
      </c>
      <c r="F45" s="103">
        <v>350</v>
      </c>
      <c r="G45" s="103">
        <v>350</v>
      </c>
      <c r="H45" s="279"/>
      <c r="I45" s="279"/>
      <c r="J45" s="280"/>
    </row>
    <row r="46" spans="1:10" ht="15.75" thickBot="1">
      <c r="A46" s="130" t="s">
        <v>277</v>
      </c>
      <c r="B46" s="130" t="s">
        <v>282</v>
      </c>
      <c r="C46" s="130" t="s">
        <v>26</v>
      </c>
      <c r="D46" s="99" t="s">
        <v>271</v>
      </c>
      <c r="E46" s="9">
        <v>225</v>
      </c>
      <c r="F46" s="103">
        <v>350</v>
      </c>
      <c r="G46" s="103">
        <v>350</v>
      </c>
      <c r="H46" s="279"/>
      <c r="I46" s="279"/>
      <c r="J46" s="280"/>
    </row>
    <row r="47" spans="1:10" ht="15.75" thickBot="1">
      <c r="A47" s="130" t="s">
        <v>277</v>
      </c>
      <c r="B47" s="130" t="s">
        <v>280</v>
      </c>
      <c r="C47" s="130" t="s">
        <v>341</v>
      </c>
      <c r="D47" s="99" t="s">
        <v>271</v>
      </c>
      <c r="E47" s="9">
        <v>225</v>
      </c>
      <c r="F47" s="103">
        <v>350</v>
      </c>
      <c r="G47" s="103">
        <v>350</v>
      </c>
      <c r="H47" s="279"/>
      <c r="I47" s="279"/>
      <c r="J47" s="280"/>
    </row>
    <row r="48" spans="1:10" ht="15.75" thickBot="1">
      <c r="A48" s="130" t="s">
        <v>277</v>
      </c>
      <c r="B48" s="130" t="s">
        <v>280</v>
      </c>
      <c r="C48" s="130" t="s">
        <v>323</v>
      </c>
      <c r="D48" s="99" t="s">
        <v>271</v>
      </c>
      <c r="E48" s="9">
        <v>150</v>
      </c>
      <c r="F48" s="103">
        <v>200</v>
      </c>
      <c r="G48" s="103">
        <v>200</v>
      </c>
      <c r="H48" s="279"/>
      <c r="I48" s="279"/>
      <c r="J48" s="280"/>
    </row>
    <row r="49" spans="1:10" ht="15.75" thickBot="1">
      <c r="A49" s="130" t="s">
        <v>277</v>
      </c>
      <c r="B49" s="130" t="s">
        <v>282</v>
      </c>
      <c r="C49" s="130" t="s">
        <v>27</v>
      </c>
      <c r="D49" s="99" t="s">
        <v>271</v>
      </c>
      <c r="E49" s="94">
        <v>100</v>
      </c>
      <c r="F49" s="10">
        <v>50</v>
      </c>
      <c r="G49" s="10">
        <v>50</v>
      </c>
      <c r="H49" s="281"/>
      <c r="I49" s="281"/>
      <c r="J49" s="282"/>
    </row>
    <row r="51" spans="1:10">
      <c r="A51" s="3" t="s">
        <v>263</v>
      </c>
    </row>
    <row r="52" spans="1:10">
      <c r="A52" s="3" t="s">
        <v>264</v>
      </c>
    </row>
    <row r="53" spans="1:10">
      <c r="A53" s="3" t="s">
        <v>265</v>
      </c>
    </row>
    <row r="55" spans="1:10">
      <c r="A55" s="112" t="s">
        <v>269</v>
      </c>
      <c r="B55" s="112"/>
      <c r="C55" s="112"/>
      <c r="D55" s="112"/>
      <c r="E55" s="112"/>
      <c r="F55" s="112"/>
      <c r="G55" s="112"/>
      <c r="H55" s="112"/>
      <c r="I55" s="112"/>
      <c r="J55" s="112"/>
    </row>
  </sheetData>
  <mergeCells count="10">
    <mergeCell ref="H5:J5"/>
    <mergeCell ref="H7:J11"/>
    <mergeCell ref="H39:J49"/>
    <mergeCell ref="E2:J2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7B7F-1BF9-488A-90E8-B8A638B28F12}">
  <dimension ref="A1:I15"/>
  <sheetViews>
    <sheetView workbookViewId="0">
      <selection activeCell="B3" sqref="B3"/>
    </sheetView>
  </sheetViews>
  <sheetFormatPr defaultRowHeight="15"/>
  <cols>
    <col min="1" max="1" width="14.42578125" customWidth="1"/>
  </cols>
  <sheetData>
    <row r="1" spans="1:9">
      <c r="A1" s="68" t="s">
        <v>202</v>
      </c>
      <c r="B1" s="68">
        <v>20</v>
      </c>
      <c r="C1" s="69">
        <v>40</v>
      </c>
      <c r="D1" s="69" t="s">
        <v>20</v>
      </c>
      <c r="E1" s="68" t="s">
        <v>218</v>
      </c>
      <c r="F1" s="68">
        <v>20</v>
      </c>
      <c r="G1" s="69">
        <v>40</v>
      </c>
      <c r="H1" s="69" t="s">
        <v>20</v>
      </c>
    </row>
    <row r="2" spans="1:9">
      <c r="A2" s="70" t="s">
        <v>194</v>
      </c>
      <c r="B2" s="68">
        <v>120</v>
      </c>
      <c r="C2" s="68">
        <v>120</v>
      </c>
      <c r="D2" s="68">
        <v>120</v>
      </c>
      <c r="E2" s="68"/>
      <c r="F2" s="68">
        <v>0</v>
      </c>
      <c r="G2" s="68">
        <v>0</v>
      </c>
      <c r="H2" s="68">
        <v>0</v>
      </c>
      <c r="I2" t="s">
        <v>258</v>
      </c>
    </row>
    <row r="3" spans="1:9">
      <c r="A3" s="70" t="s">
        <v>217</v>
      </c>
      <c r="B3" s="68">
        <v>105</v>
      </c>
      <c r="C3" s="68">
        <v>105</v>
      </c>
      <c r="D3" s="68">
        <v>105</v>
      </c>
      <c r="E3" s="68"/>
      <c r="F3" s="68">
        <v>0</v>
      </c>
      <c r="G3" s="68">
        <v>0</v>
      </c>
      <c r="H3" s="68">
        <v>0</v>
      </c>
    </row>
    <row r="4" spans="1:9">
      <c r="A4" s="68" t="s">
        <v>195</v>
      </c>
      <c r="B4" s="68">
        <v>189</v>
      </c>
      <c r="C4" s="68">
        <v>189</v>
      </c>
      <c r="D4" s="68">
        <v>189</v>
      </c>
      <c r="E4" s="68"/>
      <c r="F4" s="68">
        <v>0</v>
      </c>
      <c r="G4" s="68">
        <v>0</v>
      </c>
      <c r="H4" s="68">
        <v>0</v>
      </c>
      <c r="I4" t="s">
        <v>258</v>
      </c>
    </row>
    <row r="5" spans="1:9">
      <c r="A5" s="70" t="s">
        <v>196</v>
      </c>
      <c r="B5" s="68">
        <v>110</v>
      </c>
      <c r="C5" s="68">
        <v>110</v>
      </c>
      <c r="D5" s="68">
        <v>110</v>
      </c>
      <c r="E5" s="68"/>
      <c r="F5" s="68">
        <v>0</v>
      </c>
      <c r="G5" s="68">
        <v>0</v>
      </c>
      <c r="H5" s="68">
        <v>0</v>
      </c>
    </row>
    <row r="6" spans="1:9">
      <c r="A6" s="68" t="s">
        <v>197</v>
      </c>
      <c r="B6" s="68">
        <v>85</v>
      </c>
      <c r="C6" s="68">
        <v>85</v>
      </c>
      <c r="D6" s="68">
        <v>85</v>
      </c>
      <c r="E6" s="68"/>
      <c r="F6" s="68">
        <v>0</v>
      </c>
      <c r="G6" s="68">
        <v>0</v>
      </c>
      <c r="H6" s="68">
        <v>0</v>
      </c>
    </row>
    <row r="7" spans="1:9">
      <c r="A7" s="70" t="s">
        <v>198</v>
      </c>
      <c r="B7" s="68">
        <v>170</v>
      </c>
      <c r="C7" s="68">
        <v>170</v>
      </c>
      <c r="D7" s="68">
        <v>170</v>
      </c>
      <c r="E7" s="68"/>
      <c r="F7" s="68">
        <v>0</v>
      </c>
      <c r="G7" s="68">
        <v>0</v>
      </c>
      <c r="H7" s="68">
        <v>0</v>
      </c>
      <c r="I7" t="s">
        <v>258</v>
      </c>
    </row>
    <row r="8" spans="1:9">
      <c r="A8" s="68" t="s">
        <v>206</v>
      </c>
      <c r="B8" s="68">
        <v>180</v>
      </c>
      <c r="C8" s="68">
        <v>180</v>
      </c>
      <c r="D8" s="68">
        <v>180</v>
      </c>
      <c r="E8" s="68"/>
      <c r="F8" s="68">
        <v>0</v>
      </c>
      <c r="G8" s="68">
        <v>0</v>
      </c>
      <c r="H8" s="68">
        <v>0</v>
      </c>
      <c r="I8" t="s">
        <v>258</v>
      </c>
    </row>
    <row r="9" spans="1:9">
      <c r="A9" s="70" t="s">
        <v>219</v>
      </c>
      <c r="B9" s="68">
        <v>0</v>
      </c>
      <c r="C9" s="68">
        <v>0</v>
      </c>
      <c r="D9" s="68">
        <v>0</v>
      </c>
      <c r="E9" s="68"/>
      <c r="F9" s="68">
        <v>35</v>
      </c>
      <c r="G9" s="68">
        <v>35</v>
      </c>
      <c r="H9" s="68">
        <v>35</v>
      </c>
    </row>
    <row r="10" spans="1:9">
      <c r="A10" s="68" t="s">
        <v>229</v>
      </c>
      <c r="B10" s="68">
        <v>230</v>
      </c>
      <c r="C10" s="68">
        <v>230</v>
      </c>
      <c r="D10" s="68">
        <v>230</v>
      </c>
      <c r="E10" s="68"/>
      <c r="F10" s="68">
        <v>0</v>
      </c>
      <c r="G10" s="68">
        <v>0</v>
      </c>
      <c r="H10" s="68">
        <v>0</v>
      </c>
    </row>
    <row r="11" spans="1:9">
      <c r="A11" s="70" t="s">
        <v>230</v>
      </c>
      <c r="B11" s="68">
        <v>200</v>
      </c>
      <c r="C11" s="68">
        <v>200</v>
      </c>
      <c r="D11" s="68">
        <v>200</v>
      </c>
      <c r="E11" s="68"/>
      <c r="F11" s="68">
        <v>0</v>
      </c>
      <c r="G11" s="68">
        <v>0</v>
      </c>
      <c r="H11" s="68">
        <v>0</v>
      </c>
      <c r="I11" t="s">
        <v>258</v>
      </c>
    </row>
    <row r="12" spans="1:9">
      <c r="A12" s="68" t="s">
        <v>240</v>
      </c>
      <c r="B12" s="68">
        <v>125</v>
      </c>
      <c r="C12" s="68">
        <v>125</v>
      </c>
      <c r="D12" s="68">
        <v>125</v>
      </c>
      <c r="E12" s="68"/>
      <c r="F12" s="68"/>
      <c r="G12" s="68"/>
      <c r="H12" s="68"/>
    </row>
    <row r="13" spans="1:9">
      <c r="A13" s="68"/>
      <c r="B13" s="68"/>
      <c r="C13" s="68"/>
      <c r="D13" s="68"/>
      <c r="E13" s="68"/>
      <c r="F13" s="68"/>
      <c r="G13" s="68"/>
      <c r="H13" s="68"/>
    </row>
    <row r="14" spans="1:9">
      <c r="A14" s="68"/>
      <c r="B14" s="68"/>
      <c r="C14" s="68"/>
      <c r="D14" s="68"/>
      <c r="E14" s="68"/>
      <c r="F14" s="68"/>
      <c r="G14" s="68"/>
      <c r="H14" s="68"/>
    </row>
    <row r="15" spans="1:9">
      <c r="A15" s="68"/>
      <c r="B15" s="68"/>
      <c r="C15" s="68"/>
      <c r="D15" s="68"/>
      <c r="E15" s="68"/>
      <c r="F15" s="68"/>
      <c r="G15" s="68"/>
      <c r="H15" s="6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3E25-4BE0-4A83-9AED-AA0FC70D49D8}">
  <dimension ref="A1:K17"/>
  <sheetViews>
    <sheetView workbookViewId="0">
      <selection activeCell="B9" sqref="B9"/>
    </sheetView>
  </sheetViews>
  <sheetFormatPr defaultRowHeight="15"/>
  <cols>
    <col min="1" max="1" width="10.85546875" bestFit="1" customWidth="1"/>
    <col min="2" max="4" width="11.85546875" bestFit="1" customWidth="1"/>
    <col min="5" max="6" width="8.85546875" bestFit="1" customWidth="1"/>
    <col min="7" max="9" width="11.85546875" bestFit="1" customWidth="1"/>
    <col min="10" max="10" width="8.42578125" bestFit="1" customWidth="1"/>
    <col min="11" max="11" width="12" bestFit="1" customWidth="1"/>
    <col min="12" max="15" width="10.85546875" bestFit="1" customWidth="1"/>
    <col min="16" max="23" width="13.5703125" bestFit="1" customWidth="1"/>
  </cols>
  <sheetData>
    <row r="1" spans="1:11">
      <c r="A1" s="67" t="s">
        <v>0</v>
      </c>
      <c r="B1" t="s">
        <v>12</v>
      </c>
    </row>
    <row r="4" spans="1:11">
      <c r="A4" s="67" t="s">
        <v>2</v>
      </c>
      <c r="B4" s="67" t="s">
        <v>1</v>
      </c>
      <c r="C4" s="67" t="s">
        <v>3</v>
      </c>
      <c r="D4" s="67" t="s">
        <v>9</v>
      </c>
      <c r="E4" s="67" t="s">
        <v>10</v>
      </c>
      <c r="F4" s="67" t="s">
        <v>11</v>
      </c>
      <c r="G4" s="67" t="s">
        <v>4</v>
      </c>
      <c r="H4" s="67" t="s">
        <v>5</v>
      </c>
      <c r="I4" s="67" t="s">
        <v>6</v>
      </c>
      <c r="J4" s="67" t="s">
        <v>7</v>
      </c>
      <c r="K4" s="67" t="s">
        <v>8</v>
      </c>
    </row>
    <row r="5" spans="1:11">
      <c r="A5">
        <v>15</v>
      </c>
      <c r="B5">
        <v>15</v>
      </c>
      <c r="C5">
        <v>15</v>
      </c>
      <c r="D5">
        <v>79.004542761208768</v>
      </c>
      <c r="E5">
        <v>121.8718224446054</v>
      </c>
      <c r="F5">
        <v>121.8718224446054</v>
      </c>
      <c r="G5">
        <v>65.837118967673973</v>
      </c>
      <c r="H5">
        <v>65.837118967673973</v>
      </c>
      <c r="I5">
        <v>65.837118967673973</v>
      </c>
      <c r="J5">
        <v>2.9260941763410662</v>
      </c>
      <c r="K5">
        <v>2.9260941763410662</v>
      </c>
    </row>
    <row r="6" spans="1:11">
      <c r="J6" t="s">
        <v>250</v>
      </c>
    </row>
    <row r="7" spans="1:11">
      <c r="I7" t="s">
        <v>249</v>
      </c>
    </row>
    <row r="8" spans="1:11">
      <c r="H8" t="s">
        <v>249</v>
      </c>
    </row>
    <row r="9" spans="1:11">
      <c r="G9" t="s">
        <v>249</v>
      </c>
    </row>
    <row r="10" spans="1:11">
      <c r="F10" t="s">
        <v>251</v>
      </c>
    </row>
    <row r="11" spans="1:11">
      <c r="D11">
        <v>79.150847470025823</v>
      </c>
      <c r="E11">
        <v>121.14029890052009</v>
      </c>
      <c r="F11">
        <v>121.14029890052009</v>
      </c>
      <c r="G11">
        <v>65.837118967673973</v>
      </c>
      <c r="H11">
        <v>65.837118967673973</v>
      </c>
      <c r="I11">
        <v>65.837118967673973</v>
      </c>
      <c r="J11">
        <v>2.9260941763410662</v>
      </c>
      <c r="K11">
        <v>2.9260941763410662</v>
      </c>
    </row>
    <row r="12" spans="1:11">
      <c r="J12" t="s">
        <v>250</v>
      </c>
    </row>
    <row r="13" spans="1:11">
      <c r="I13" t="s">
        <v>249</v>
      </c>
    </row>
    <row r="14" spans="1:11">
      <c r="H14" t="s">
        <v>249</v>
      </c>
    </row>
    <row r="15" spans="1:11">
      <c r="G15" t="s">
        <v>249</v>
      </c>
    </row>
    <row r="16" spans="1:11">
      <c r="F16" t="s">
        <v>252</v>
      </c>
    </row>
    <row r="17" spans="1:1">
      <c r="A17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 on Table</vt:lpstr>
      <vt:lpstr>CLPUQ</vt:lpstr>
      <vt:lpstr>SPRC</vt:lpstr>
      <vt:lpstr>INDIA</vt:lpstr>
      <vt:lpstr>quartery </vt:lpstr>
      <vt:lpstr>THC and surcharges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Peisan Ong</dc:creator>
  <cp:lastModifiedBy>Soon Ang Chong</cp:lastModifiedBy>
  <dcterms:created xsi:type="dcterms:W3CDTF">2018-10-05T06:44:42Z</dcterms:created>
  <dcterms:modified xsi:type="dcterms:W3CDTF">2025-08-05T09:23:13Z</dcterms:modified>
</cp:coreProperties>
</file>