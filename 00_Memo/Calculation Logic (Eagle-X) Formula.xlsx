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.ramos\Downloads\"/>
    </mc:Choice>
  </mc:AlternateContent>
  <xr:revisionPtr revIDLastSave="0" documentId="13_ncr:1_{08EE171B-9678-4202-9C7C-69C05BFCA8E3}" xr6:coauthVersionLast="47" xr6:coauthVersionMax="47" xr10:uidLastSave="{00000000-0000-0000-0000-000000000000}"/>
  <bookViews>
    <workbookView xWindow="28680" yWindow="-120" windowWidth="29040" windowHeight="15720" firstSheet="1" activeTab="1" xr2:uid="{E4FC1DC1-CACD-46CC-9A5D-EB1CBA8E4EE6}"/>
  </bookViews>
  <sheets>
    <sheet name="Image" sheetId="4" state="hidden" r:id="rId1"/>
    <sheet name="Sheet1" sheetId="5" r:id="rId2"/>
    <sheet name="Logic" sheetId="1" state="hidden" r:id="rId3"/>
    <sheet name="Dummy Amount" sheetId="3" state="hidden" r:id="rId4"/>
    <sheet name="Sheet2" sheetId="2" state="hidden" r:id="rId5"/>
  </sheets>
  <definedNames>
    <definedName name="_xlnm._FilterDatabase" localSheetId="2" hidden="1">Logic!$A$5:$Z$71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5" l="1"/>
  <c r="F55" i="5"/>
  <c r="E55" i="5"/>
  <c r="U36" i="5"/>
  <c r="T36" i="5"/>
  <c r="S36" i="5"/>
  <c r="N36" i="5"/>
  <c r="M36" i="5"/>
  <c r="L36" i="5"/>
  <c r="G34" i="5"/>
  <c r="G36" i="5" s="1"/>
  <c r="F34" i="5"/>
  <c r="F36" i="5" s="1"/>
  <c r="E34" i="5"/>
  <c r="U34" i="5"/>
  <c r="T34" i="5"/>
  <c r="S34" i="5"/>
  <c r="N34" i="5"/>
  <c r="M34" i="5"/>
  <c r="L34" i="5"/>
  <c r="E36" i="5"/>
  <c r="U15" i="5"/>
  <c r="U17" i="5" s="1"/>
  <c r="T15" i="5"/>
  <c r="T17" i="5" s="1"/>
  <c r="S15" i="5"/>
  <c r="S17" i="5" s="1"/>
  <c r="N15" i="5"/>
  <c r="N17" i="5" s="1"/>
  <c r="M15" i="5"/>
  <c r="M17" i="5" s="1"/>
  <c r="L15" i="5"/>
  <c r="L17" i="5" s="1"/>
  <c r="G15" i="5"/>
  <c r="G17" i="5" s="1"/>
  <c r="F15" i="5"/>
  <c r="F17" i="5" s="1"/>
  <c r="E15" i="5"/>
  <c r="E17" i="5" s="1"/>
  <c r="L53" i="1"/>
  <c r="P25" i="1" l="1"/>
  <c r="Q25" i="1" s="1"/>
  <c r="W70" i="1"/>
  <c r="Y70" i="1" s="1"/>
  <c r="W69" i="1"/>
  <c r="X69" i="1" s="1"/>
  <c r="W68" i="1"/>
  <c r="Y68" i="1" s="1"/>
  <c r="W67" i="1"/>
  <c r="X67" i="1" s="1"/>
  <c r="W66" i="1"/>
  <c r="Y66" i="1" s="1"/>
  <c r="W65" i="1"/>
  <c r="Y65" i="1" s="1"/>
  <c r="W64" i="1"/>
  <c r="Y64" i="1" s="1"/>
  <c r="W63" i="1"/>
  <c r="Y63" i="1" s="1"/>
  <c r="W62" i="1"/>
  <c r="X62" i="1" s="1"/>
  <c r="W61" i="1"/>
  <c r="Y61" i="1" s="1"/>
  <c r="W60" i="1"/>
  <c r="Y60" i="1" s="1"/>
  <c r="W59" i="1"/>
  <c r="Y59" i="1" s="1"/>
  <c r="W58" i="1"/>
  <c r="Y58" i="1" s="1"/>
  <c r="W57" i="1"/>
  <c r="Y57" i="1" s="1"/>
  <c r="W56" i="1"/>
  <c r="Y56" i="1" s="1"/>
  <c r="W55" i="1"/>
  <c r="Y55" i="1" s="1"/>
  <c r="W54" i="1"/>
  <c r="Y54" i="1" s="1"/>
  <c r="W53" i="1"/>
  <c r="X53" i="1" s="1"/>
  <c r="W52" i="1"/>
  <c r="W51" i="1"/>
  <c r="Y51" i="1" s="1"/>
  <c r="W50" i="1"/>
  <c r="X50" i="1" s="1"/>
  <c r="W49" i="1"/>
  <c r="Y49" i="1" s="1"/>
  <c r="W48" i="1"/>
  <c r="Y48" i="1" s="1"/>
  <c r="W47" i="1"/>
  <c r="X47" i="1" s="1"/>
  <c r="W46" i="1"/>
  <c r="Y46" i="1" s="1"/>
  <c r="W45" i="1"/>
  <c r="Y45" i="1" s="1"/>
  <c r="W44" i="1"/>
  <c r="Y44" i="1" s="1"/>
  <c r="W43" i="1"/>
  <c r="Y43" i="1" s="1"/>
  <c r="W42" i="1"/>
  <c r="Y42" i="1" s="1"/>
  <c r="W41" i="1"/>
  <c r="Y41" i="1" s="1"/>
  <c r="W40" i="1"/>
  <c r="Y40" i="1" s="1"/>
  <c r="W39" i="1"/>
  <c r="Y39" i="1" s="1"/>
  <c r="W38" i="1"/>
  <c r="Y38" i="1" s="1"/>
  <c r="W37" i="1"/>
  <c r="X37" i="1" s="1"/>
  <c r="W36" i="1"/>
  <c r="Y36" i="1" s="1"/>
  <c r="W35" i="1"/>
  <c r="Y35" i="1" s="1"/>
  <c r="W34" i="1"/>
  <c r="Y34" i="1" s="1"/>
  <c r="W33" i="1"/>
  <c r="Y33" i="1" s="1"/>
  <c r="W32" i="1"/>
  <c r="Y32" i="1" s="1"/>
  <c r="W31" i="1"/>
  <c r="Y31" i="1" s="1"/>
  <c r="W30" i="1"/>
  <c r="X30" i="1" s="1"/>
  <c r="W29" i="1"/>
  <c r="Y29" i="1" s="1"/>
  <c r="W28" i="1"/>
  <c r="Y28" i="1" s="1"/>
  <c r="W27" i="1"/>
  <c r="Y27" i="1" s="1"/>
  <c r="W26" i="1"/>
  <c r="Y26" i="1" s="1"/>
  <c r="W25" i="1"/>
  <c r="X25" i="1" s="1"/>
  <c r="W24" i="1"/>
  <c r="Y24" i="1" s="1"/>
  <c r="W23" i="1"/>
  <c r="Y23" i="1" s="1"/>
  <c r="W22" i="1"/>
  <c r="Y22" i="1" s="1"/>
  <c r="W21" i="1"/>
  <c r="X21" i="1" s="1"/>
  <c r="W20" i="1"/>
  <c r="Y20" i="1" s="1"/>
  <c r="W19" i="1"/>
  <c r="Y19" i="1" s="1"/>
  <c r="W18" i="1"/>
  <c r="Y18" i="1" s="1"/>
  <c r="W17" i="1"/>
  <c r="Y17" i="1" s="1"/>
  <c r="W16" i="1"/>
  <c r="Y16" i="1" s="1"/>
  <c r="W15" i="1"/>
  <c r="Y15" i="1" s="1"/>
  <c r="W14" i="1"/>
  <c r="X14" i="1" s="1"/>
  <c r="W13" i="1"/>
  <c r="Y13" i="1" s="1"/>
  <c r="W12" i="1"/>
  <c r="Y12" i="1" s="1"/>
  <c r="W11" i="1"/>
  <c r="Y11" i="1" s="1"/>
  <c r="W10" i="1"/>
  <c r="Y10" i="1" s="1"/>
  <c r="W9" i="1"/>
  <c r="Y9" i="1" s="1"/>
  <c r="W8" i="1"/>
  <c r="Y8" i="1" s="1"/>
  <c r="W7" i="1"/>
  <c r="Y7" i="1" s="1"/>
  <c r="W71" i="1"/>
  <c r="S70" i="1"/>
  <c r="S69" i="1"/>
  <c r="T69" i="1" s="1"/>
  <c r="U69" i="1" s="1"/>
  <c r="S68" i="1"/>
  <c r="S67" i="1"/>
  <c r="T67" i="1" s="1"/>
  <c r="U67" i="1" s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T52" i="1" s="1"/>
  <c r="U52" i="1" s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T25" i="1" s="1"/>
  <c r="U25" i="1" s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P50" i="1"/>
  <c r="Q50" i="1" s="1"/>
  <c r="P51" i="1"/>
  <c r="R51" i="1" s="1"/>
  <c r="P71" i="1"/>
  <c r="R71" i="1" s="1"/>
  <c r="P70" i="1"/>
  <c r="P69" i="1"/>
  <c r="Q69" i="1" s="1"/>
  <c r="P68" i="1"/>
  <c r="R68" i="1" s="1"/>
  <c r="P67" i="1"/>
  <c r="Q67" i="1" s="1"/>
  <c r="P66" i="1"/>
  <c r="R66" i="1" s="1"/>
  <c r="P65" i="1"/>
  <c r="R65" i="1" s="1"/>
  <c r="P64" i="1"/>
  <c r="R64" i="1" s="1"/>
  <c r="P63" i="1"/>
  <c r="R63" i="1" s="1"/>
  <c r="P62" i="1"/>
  <c r="R62" i="1" s="1"/>
  <c r="P61" i="1"/>
  <c r="R61" i="1" s="1"/>
  <c r="P60" i="1"/>
  <c r="R60" i="1" s="1"/>
  <c r="P59" i="1"/>
  <c r="R59" i="1" s="1"/>
  <c r="P58" i="1"/>
  <c r="R58" i="1" s="1"/>
  <c r="P57" i="1"/>
  <c r="R57" i="1" s="1"/>
  <c r="P56" i="1"/>
  <c r="R56" i="1" s="1"/>
  <c r="P55" i="1"/>
  <c r="R55" i="1" s="1"/>
  <c r="P54" i="1"/>
  <c r="R54" i="1" s="1"/>
  <c r="P53" i="1"/>
  <c r="Q53" i="1" s="1"/>
  <c r="P52" i="1"/>
  <c r="Q52" i="1" s="1"/>
  <c r="P49" i="1"/>
  <c r="R49" i="1" s="1"/>
  <c r="P48" i="1"/>
  <c r="R48" i="1" s="1"/>
  <c r="P47" i="1"/>
  <c r="Q47" i="1" s="1"/>
  <c r="P46" i="1"/>
  <c r="R46" i="1" s="1"/>
  <c r="P45" i="1"/>
  <c r="R45" i="1" s="1"/>
  <c r="P44" i="1"/>
  <c r="R44" i="1" s="1"/>
  <c r="P43" i="1"/>
  <c r="R43" i="1" s="1"/>
  <c r="P42" i="1"/>
  <c r="R42" i="1" s="1"/>
  <c r="P41" i="1"/>
  <c r="R41" i="1" s="1"/>
  <c r="P40" i="1"/>
  <c r="R40" i="1" s="1"/>
  <c r="P39" i="1"/>
  <c r="R39" i="1" s="1"/>
  <c r="P38" i="1"/>
  <c r="R38" i="1" s="1"/>
  <c r="P37" i="1"/>
  <c r="Q37" i="1" s="1"/>
  <c r="P36" i="1"/>
  <c r="R36" i="1" s="1"/>
  <c r="P35" i="1"/>
  <c r="R35" i="1" s="1"/>
  <c r="P34" i="1"/>
  <c r="R34" i="1" s="1"/>
  <c r="P33" i="1"/>
  <c r="R33" i="1" s="1"/>
  <c r="P32" i="1"/>
  <c r="R32" i="1" s="1"/>
  <c r="P31" i="1"/>
  <c r="R31" i="1" s="1"/>
  <c r="P30" i="1"/>
  <c r="R30" i="1" s="1"/>
  <c r="P29" i="1"/>
  <c r="R29" i="1" s="1"/>
  <c r="P28" i="1"/>
  <c r="R28" i="1" s="1"/>
  <c r="P27" i="1"/>
  <c r="R27" i="1" s="1"/>
  <c r="P26" i="1"/>
  <c r="R26" i="1" s="1"/>
  <c r="P24" i="1"/>
  <c r="R24" i="1" s="1"/>
  <c r="P23" i="1"/>
  <c r="R23" i="1" s="1"/>
  <c r="P22" i="1"/>
  <c r="R22" i="1" s="1"/>
  <c r="P21" i="1"/>
  <c r="Q21" i="1" s="1"/>
  <c r="P20" i="1"/>
  <c r="R20" i="1" s="1"/>
  <c r="P19" i="1"/>
  <c r="R19" i="1" s="1"/>
  <c r="P18" i="1"/>
  <c r="R18" i="1" s="1"/>
  <c r="P17" i="1"/>
  <c r="R17" i="1" s="1"/>
  <c r="P16" i="1"/>
  <c r="R16" i="1" s="1"/>
  <c r="P15" i="1"/>
  <c r="R15" i="1" s="1"/>
  <c r="P14" i="1"/>
  <c r="R14" i="1" s="1"/>
  <c r="P13" i="1"/>
  <c r="R13" i="1" s="1"/>
  <c r="P12" i="1"/>
  <c r="R12" i="1" s="1"/>
  <c r="P11" i="1"/>
  <c r="R11" i="1" s="1"/>
  <c r="P10" i="1"/>
  <c r="R10" i="1" s="1"/>
  <c r="P9" i="1"/>
  <c r="R9" i="1" s="1"/>
  <c r="P8" i="1"/>
  <c r="R8" i="1" s="1"/>
  <c r="P7" i="1"/>
  <c r="R7" i="1" s="1"/>
  <c r="P6" i="1"/>
  <c r="R6" i="1" s="1"/>
  <c r="T6" i="1" s="1"/>
  <c r="V6" i="1" s="1"/>
  <c r="X6" i="1" s="1"/>
  <c r="I70" i="1"/>
  <c r="L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L63" i="1" s="1"/>
  <c r="I62" i="1"/>
  <c r="L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L55" i="1" s="1"/>
  <c r="I54" i="1"/>
  <c r="L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L47" i="1" s="1"/>
  <c r="I46" i="1"/>
  <c r="L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L39" i="1" s="1"/>
  <c r="I38" i="1"/>
  <c r="L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L31" i="1" s="1"/>
  <c r="I30" i="1"/>
  <c r="L30" i="1" s="1"/>
  <c r="I29" i="1"/>
  <c r="J29" i="1" s="1"/>
  <c r="I28" i="1"/>
  <c r="J28" i="1" s="1"/>
  <c r="I27" i="1"/>
  <c r="J27" i="1" s="1"/>
  <c r="I26" i="1"/>
  <c r="J26" i="1" s="1"/>
  <c r="I25" i="1"/>
  <c r="L25" i="1" s="1"/>
  <c r="I24" i="1"/>
  <c r="J24" i="1" s="1"/>
  <c r="I23" i="1"/>
  <c r="L23" i="1" s="1"/>
  <c r="I22" i="1"/>
  <c r="L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L15" i="1" s="1"/>
  <c r="I14" i="1"/>
  <c r="L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L7" i="1" s="1"/>
  <c r="I6" i="1"/>
  <c r="L6" i="1" s="1"/>
  <c r="I71" i="1"/>
  <c r="L71" i="1" s="1"/>
  <c r="M71" i="1" s="1"/>
  <c r="L37" i="1" l="1"/>
  <c r="R37" i="1" s="1"/>
  <c r="L50" i="1"/>
  <c r="R50" i="1" s="1"/>
  <c r="R53" i="1"/>
  <c r="Y52" i="1"/>
  <c r="J25" i="1"/>
  <c r="J6" i="1"/>
  <c r="J14" i="1"/>
  <c r="J22" i="1"/>
  <c r="J30" i="1"/>
  <c r="J38" i="1"/>
  <c r="J46" i="1"/>
  <c r="J54" i="1"/>
  <c r="J62" i="1"/>
  <c r="J70" i="1"/>
  <c r="J7" i="1"/>
  <c r="J15" i="1"/>
  <c r="J23" i="1"/>
  <c r="J31" i="1"/>
  <c r="J39" i="1"/>
  <c r="J47" i="1"/>
  <c r="J55" i="1"/>
  <c r="J63" i="1"/>
  <c r="R25" i="1"/>
  <c r="R52" i="1"/>
  <c r="R70" i="1"/>
  <c r="T70" i="1" s="1"/>
  <c r="R47" i="1"/>
  <c r="Y62" i="1"/>
  <c r="X22" i="1"/>
  <c r="X26" i="1"/>
  <c r="X42" i="1"/>
  <c r="X46" i="1"/>
  <c r="X64" i="1"/>
  <c r="Y14" i="1"/>
  <c r="X66" i="1"/>
  <c r="Y30" i="1"/>
  <c r="X70" i="1"/>
  <c r="X24" i="1"/>
  <c r="X48" i="1"/>
  <c r="X8" i="1"/>
  <c r="X10" i="1"/>
  <c r="X32" i="1"/>
  <c r="X54" i="1"/>
  <c r="X34" i="1"/>
  <c r="X56" i="1"/>
  <c r="X16" i="1"/>
  <c r="X38" i="1"/>
  <c r="X58" i="1"/>
  <c r="X18" i="1"/>
  <c r="X40" i="1"/>
  <c r="X9" i="1"/>
  <c r="X17" i="1"/>
  <c r="X33" i="1"/>
  <c r="X41" i="1"/>
  <c r="X49" i="1"/>
  <c r="X57" i="1"/>
  <c r="X65" i="1"/>
  <c r="X11" i="1"/>
  <c r="X19" i="1"/>
  <c r="X27" i="1"/>
  <c r="X35" i="1"/>
  <c r="X43" i="1"/>
  <c r="X51" i="1"/>
  <c r="X59" i="1"/>
  <c r="X12" i="1"/>
  <c r="X20" i="1"/>
  <c r="X28" i="1"/>
  <c r="X36" i="1"/>
  <c r="X44" i="1"/>
  <c r="X52" i="1"/>
  <c r="X60" i="1"/>
  <c r="X68" i="1"/>
  <c r="X13" i="1"/>
  <c r="X29" i="1"/>
  <c r="X45" i="1"/>
  <c r="X61" i="1"/>
  <c r="X7" i="1"/>
  <c r="X15" i="1"/>
  <c r="X23" i="1"/>
  <c r="X31" i="1"/>
  <c r="X39" i="1"/>
  <c r="X55" i="1"/>
  <c r="X63" i="1"/>
  <c r="Y67" i="1"/>
  <c r="Y69" i="1"/>
  <c r="Y25" i="1"/>
  <c r="S71" i="1"/>
  <c r="T71" i="1" s="1"/>
  <c r="U71" i="1" s="1"/>
  <c r="Y71" i="1" s="1"/>
  <c r="V25" i="1"/>
  <c r="V67" i="1"/>
  <c r="V52" i="1"/>
  <c r="V69" i="1"/>
  <c r="T7" i="1"/>
  <c r="T15" i="1"/>
  <c r="T23" i="1"/>
  <c r="T31" i="1"/>
  <c r="T39" i="1"/>
  <c r="T47" i="1"/>
  <c r="T55" i="1"/>
  <c r="T63" i="1"/>
  <c r="T14" i="1"/>
  <c r="T22" i="1"/>
  <c r="T30" i="1"/>
  <c r="T38" i="1"/>
  <c r="T46" i="1"/>
  <c r="T54" i="1"/>
  <c r="T62" i="1"/>
  <c r="L8" i="1"/>
  <c r="T8" i="1" s="1"/>
  <c r="L16" i="1"/>
  <c r="T16" i="1" s="1"/>
  <c r="L24" i="1"/>
  <c r="T24" i="1" s="1"/>
  <c r="L32" i="1"/>
  <c r="T32" i="1" s="1"/>
  <c r="L40" i="1"/>
  <c r="T40" i="1" s="1"/>
  <c r="L48" i="1"/>
  <c r="T48" i="1" s="1"/>
  <c r="L56" i="1"/>
  <c r="T56" i="1" s="1"/>
  <c r="L64" i="1"/>
  <c r="T64" i="1" s="1"/>
  <c r="L9" i="1"/>
  <c r="T9" i="1" s="1"/>
  <c r="L17" i="1"/>
  <c r="T17" i="1" s="1"/>
  <c r="L33" i="1"/>
  <c r="T33" i="1" s="1"/>
  <c r="L41" i="1"/>
  <c r="T41" i="1" s="1"/>
  <c r="L49" i="1"/>
  <c r="T49" i="1" s="1"/>
  <c r="L57" i="1"/>
  <c r="T57" i="1" s="1"/>
  <c r="L65" i="1"/>
  <c r="T65" i="1" s="1"/>
  <c r="L10" i="1"/>
  <c r="T10" i="1" s="1"/>
  <c r="L18" i="1"/>
  <c r="T18" i="1" s="1"/>
  <c r="L26" i="1"/>
  <c r="T26" i="1" s="1"/>
  <c r="L34" i="1"/>
  <c r="T34" i="1" s="1"/>
  <c r="L42" i="1"/>
  <c r="T42" i="1" s="1"/>
  <c r="L58" i="1"/>
  <c r="T58" i="1" s="1"/>
  <c r="L66" i="1"/>
  <c r="T66" i="1" s="1"/>
  <c r="L11" i="1"/>
  <c r="T11" i="1" s="1"/>
  <c r="L19" i="1"/>
  <c r="T19" i="1" s="1"/>
  <c r="L27" i="1"/>
  <c r="T27" i="1" s="1"/>
  <c r="L35" i="1"/>
  <c r="T35" i="1" s="1"/>
  <c r="L43" i="1"/>
  <c r="T43" i="1" s="1"/>
  <c r="L51" i="1"/>
  <c r="T51" i="1" s="1"/>
  <c r="L59" i="1"/>
  <c r="T59" i="1" s="1"/>
  <c r="L67" i="1"/>
  <c r="R67" i="1" s="1"/>
  <c r="L12" i="1"/>
  <c r="T12" i="1" s="1"/>
  <c r="L20" i="1"/>
  <c r="T20" i="1" s="1"/>
  <c r="L28" i="1"/>
  <c r="T28" i="1" s="1"/>
  <c r="L36" i="1"/>
  <c r="T36" i="1" s="1"/>
  <c r="L44" i="1"/>
  <c r="T44" i="1" s="1"/>
  <c r="L52" i="1"/>
  <c r="L60" i="1"/>
  <c r="T60" i="1" s="1"/>
  <c r="L68" i="1"/>
  <c r="T68" i="1" s="1"/>
  <c r="L13" i="1"/>
  <c r="T13" i="1" s="1"/>
  <c r="L21" i="1"/>
  <c r="M21" i="1" s="1"/>
  <c r="L29" i="1"/>
  <c r="T29" i="1" s="1"/>
  <c r="L45" i="1"/>
  <c r="T45" i="1" s="1"/>
  <c r="L61" i="1"/>
  <c r="T61" i="1" s="1"/>
  <c r="L69" i="1"/>
  <c r="R69" i="1" s="1"/>
  <c r="Q7" i="1"/>
  <c r="Q39" i="1"/>
  <c r="Q8" i="1"/>
  <c r="Q40" i="1"/>
  <c r="Q15" i="1"/>
  <c r="Q16" i="1"/>
  <c r="Q48" i="1"/>
  <c r="Q23" i="1"/>
  <c r="Q55" i="1"/>
  <c r="Q24" i="1"/>
  <c r="Q56" i="1"/>
  <c r="Q31" i="1"/>
  <c r="Q63" i="1"/>
  <c r="Q32" i="1"/>
  <c r="Q64" i="1"/>
  <c r="Q9" i="1"/>
  <c r="Q17" i="1"/>
  <c r="Q33" i="1"/>
  <c r="Q41" i="1"/>
  <c r="Q49" i="1"/>
  <c r="Q57" i="1"/>
  <c r="Q65" i="1"/>
  <c r="Q10" i="1"/>
  <c r="Q18" i="1"/>
  <c r="Q26" i="1"/>
  <c r="Q34" i="1"/>
  <c r="Q42" i="1"/>
  <c r="Q58" i="1"/>
  <c r="Q66" i="1"/>
  <c r="Q11" i="1"/>
  <c r="Q19" i="1"/>
  <c r="Q27" i="1"/>
  <c r="Q35" i="1"/>
  <c r="Q43" i="1"/>
  <c r="Q51" i="1"/>
  <c r="Q59" i="1"/>
  <c r="Q12" i="1"/>
  <c r="Q20" i="1"/>
  <c r="Q28" i="1"/>
  <c r="Q36" i="1"/>
  <c r="Q44" i="1"/>
  <c r="Q60" i="1"/>
  <c r="Q68" i="1"/>
  <c r="Q13" i="1"/>
  <c r="Q29" i="1"/>
  <c r="Q45" i="1"/>
  <c r="Q61" i="1"/>
  <c r="Q6" i="1"/>
  <c r="Q14" i="1"/>
  <c r="Q22" i="1"/>
  <c r="Q30" i="1"/>
  <c r="Q38" i="1"/>
  <c r="Q46" i="1"/>
  <c r="Q54" i="1"/>
  <c r="Q62" i="1"/>
  <c r="Q70" i="1"/>
  <c r="O71" i="1"/>
  <c r="I5" i="1" l="1"/>
  <c r="U70" i="1"/>
  <c r="V70" i="1"/>
  <c r="R21" i="1"/>
  <c r="T50" i="1"/>
  <c r="U50" i="1" s="1"/>
  <c r="Y50" i="1" s="1"/>
  <c r="T21" i="1"/>
  <c r="U21" i="1" s="1"/>
  <c r="Y21" i="1" s="1"/>
  <c r="T37" i="1"/>
  <c r="U37" i="1" s="1"/>
  <c r="Y37" i="1" s="1"/>
  <c r="T53" i="1"/>
  <c r="M53" i="1"/>
  <c r="U29" i="1"/>
  <c r="V29" i="1"/>
  <c r="U35" i="1"/>
  <c r="V35" i="1"/>
  <c r="U31" i="1"/>
  <c r="V31" i="1"/>
  <c r="U28" i="1"/>
  <c r="V28" i="1"/>
  <c r="U27" i="1"/>
  <c r="V27" i="1"/>
  <c r="U26" i="1"/>
  <c r="V26" i="1"/>
  <c r="U24" i="1"/>
  <c r="V24" i="1"/>
  <c r="U22" i="1"/>
  <c r="V22" i="1"/>
  <c r="U23" i="1"/>
  <c r="V23" i="1"/>
  <c r="U36" i="1"/>
  <c r="V36" i="1"/>
  <c r="U13" i="1"/>
  <c r="V13" i="1"/>
  <c r="U20" i="1"/>
  <c r="V20" i="1"/>
  <c r="U19" i="1"/>
  <c r="V19" i="1"/>
  <c r="U18" i="1"/>
  <c r="V18" i="1"/>
  <c r="U17" i="1"/>
  <c r="V17" i="1"/>
  <c r="U16" i="1"/>
  <c r="V16" i="1"/>
  <c r="U14" i="1"/>
  <c r="V14" i="1"/>
  <c r="U15" i="1"/>
  <c r="V15" i="1"/>
  <c r="U34" i="1"/>
  <c r="V34" i="1"/>
  <c r="U12" i="1"/>
  <c r="V12" i="1"/>
  <c r="U11" i="1"/>
  <c r="V11" i="1"/>
  <c r="U10" i="1"/>
  <c r="V10" i="1"/>
  <c r="U9" i="1"/>
  <c r="V9" i="1"/>
  <c r="U8" i="1"/>
  <c r="V8" i="1"/>
  <c r="U7" i="1"/>
  <c r="V7" i="1"/>
  <c r="U30" i="1"/>
  <c r="V30" i="1"/>
  <c r="U61" i="1"/>
  <c r="V61" i="1"/>
  <c r="U68" i="1"/>
  <c r="V68" i="1"/>
  <c r="U66" i="1"/>
  <c r="V66" i="1"/>
  <c r="U65" i="1"/>
  <c r="V65" i="1"/>
  <c r="U64" i="1"/>
  <c r="V64" i="1"/>
  <c r="U62" i="1"/>
  <c r="V62" i="1"/>
  <c r="U63" i="1"/>
  <c r="V63" i="1"/>
  <c r="U33" i="1"/>
  <c r="V33" i="1"/>
  <c r="U60" i="1"/>
  <c r="V60" i="1"/>
  <c r="U59" i="1"/>
  <c r="V59" i="1"/>
  <c r="U58" i="1"/>
  <c r="V58" i="1"/>
  <c r="U57" i="1"/>
  <c r="V57" i="1"/>
  <c r="U56" i="1"/>
  <c r="V56" i="1"/>
  <c r="U54" i="1"/>
  <c r="V54" i="1"/>
  <c r="U55" i="1"/>
  <c r="V55" i="1"/>
  <c r="U32" i="1"/>
  <c r="V32" i="1"/>
  <c r="U45" i="1"/>
  <c r="V45" i="1"/>
  <c r="U51" i="1"/>
  <c r="V51" i="1"/>
  <c r="U49" i="1"/>
  <c r="V49" i="1"/>
  <c r="U48" i="1"/>
  <c r="V48" i="1"/>
  <c r="U46" i="1"/>
  <c r="V46" i="1"/>
  <c r="U47" i="1"/>
  <c r="Y47" i="1" s="1"/>
  <c r="V47" i="1"/>
  <c r="U44" i="1"/>
  <c r="V44" i="1"/>
  <c r="U43" i="1"/>
  <c r="V43" i="1"/>
  <c r="U42" i="1"/>
  <c r="V42" i="1"/>
  <c r="U41" i="1"/>
  <c r="V41" i="1"/>
  <c r="U40" i="1"/>
  <c r="V40" i="1"/>
  <c r="U38" i="1"/>
  <c r="V38" i="1"/>
  <c r="U39" i="1"/>
  <c r="V39" i="1"/>
  <c r="V21" i="1" l="1"/>
  <c r="V37" i="1"/>
  <c r="V50" i="1"/>
  <c r="U53" i="1"/>
  <c r="Y53" i="1" s="1"/>
  <c r="V53" i="1"/>
  <c r="N6" i="1" l="1"/>
  <c r="N52" i="1"/>
  <c r="N25" i="1"/>
  <c r="N50" i="1" l="1"/>
  <c r="N47" i="1"/>
  <c r="N53" i="1"/>
  <c r="N37" i="1"/>
  <c r="N67" i="1"/>
  <c r="N21" i="1"/>
  <c r="O56" i="1"/>
  <c r="N56" i="1"/>
  <c r="M31" i="1"/>
  <c r="N31" i="1"/>
  <c r="M33" i="1"/>
  <c r="N33" i="1"/>
  <c r="O61" i="1"/>
  <c r="N61" i="1"/>
  <c r="O46" i="1"/>
  <c r="N46" i="1"/>
  <c r="O57" i="1"/>
  <c r="N57" i="1"/>
  <c r="O38" i="1"/>
  <c r="N38" i="1"/>
  <c r="M8" i="1"/>
  <c r="N8" i="1"/>
  <c r="O24" i="1"/>
  <c r="N24" i="1"/>
  <c r="O40" i="1"/>
  <c r="N40" i="1"/>
  <c r="M63" i="1"/>
  <c r="N63" i="1"/>
  <c r="M22" i="1"/>
  <c r="N22" i="1"/>
  <c r="O13" i="1"/>
  <c r="N13" i="1"/>
  <c r="O59" i="1"/>
  <c r="N59" i="1"/>
  <c r="M49" i="1"/>
  <c r="N49" i="1"/>
  <c r="O45" i="1"/>
  <c r="N45" i="1"/>
  <c r="O35" i="1"/>
  <c r="N35" i="1"/>
  <c r="O16" i="1"/>
  <c r="N16" i="1"/>
  <c r="M36" i="1"/>
  <c r="N36" i="1"/>
  <c r="M7" i="1"/>
  <c r="N7" i="1"/>
  <c r="M64" i="1"/>
  <c r="N64" i="1"/>
  <c r="O12" i="1"/>
  <c r="N12" i="1"/>
  <c r="O34" i="1"/>
  <c r="N34" i="1"/>
  <c r="O9" i="1"/>
  <c r="N9" i="1"/>
  <c r="M44" i="1"/>
  <c r="N44" i="1"/>
  <c r="O27" i="1"/>
  <c r="N27" i="1"/>
  <c r="M20" i="1"/>
  <c r="N20" i="1"/>
  <c r="O48" i="1"/>
  <c r="N48" i="1"/>
  <c r="O23" i="1"/>
  <c r="N23" i="1"/>
  <c r="O60" i="1"/>
  <c r="N60" i="1"/>
  <c r="O41" i="1"/>
  <c r="N41" i="1"/>
  <c r="O32" i="1"/>
  <c r="N32" i="1"/>
  <c r="O54" i="1"/>
  <c r="N54" i="1"/>
  <c r="O26" i="1"/>
  <c r="N26" i="1"/>
  <c r="O10" i="1"/>
  <c r="N10" i="1"/>
  <c r="M30" i="1"/>
  <c r="N30" i="1"/>
  <c r="O55" i="1"/>
  <c r="N55" i="1"/>
  <c r="O42" i="1"/>
  <c r="N42" i="1"/>
  <c r="M19" i="1"/>
  <c r="N19" i="1"/>
  <c r="M11" i="1"/>
  <c r="N11" i="1"/>
  <c r="M14" i="1"/>
  <c r="N14" i="1"/>
  <c r="O29" i="1"/>
  <c r="N29" i="1"/>
  <c r="M66" i="1"/>
  <c r="N66" i="1"/>
  <c r="O15" i="1"/>
  <c r="N15" i="1"/>
  <c r="O69" i="1"/>
  <c r="N69" i="1"/>
  <c r="O58" i="1"/>
  <c r="N58" i="1"/>
  <c r="O39" i="1"/>
  <c r="N39" i="1"/>
  <c r="M51" i="1"/>
  <c r="N51" i="1"/>
  <c r="M68" i="1"/>
  <c r="N68" i="1"/>
  <c r="M28" i="1"/>
  <c r="N28" i="1"/>
  <c r="O17" i="1"/>
  <c r="N17" i="1"/>
  <c r="M62" i="1"/>
  <c r="N62" i="1"/>
  <c r="O70" i="1"/>
  <c r="N70" i="1"/>
  <c r="M18" i="1"/>
  <c r="N18" i="1"/>
  <c r="M43" i="1"/>
  <c r="N43" i="1"/>
  <c r="O65" i="1"/>
  <c r="N65" i="1"/>
  <c r="O52" i="1"/>
  <c r="M9" i="1"/>
  <c r="O67" i="1"/>
  <c r="O25" i="1"/>
  <c r="M47" i="1"/>
  <c r="M69" i="1"/>
  <c r="M50" i="1"/>
  <c r="M37" i="1"/>
  <c r="O33" i="1"/>
  <c r="O51" i="1"/>
  <c r="M25" i="1"/>
  <c r="O44" i="1"/>
  <c r="M23" i="1"/>
  <c r="O66" i="1"/>
  <c r="M17" i="1"/>
  <c r="O62" i="1"/>
  <c r="M15" i="1"/>
  <c r="M58" i="1"/>
  <c r="M61" i="1"/>
  <c r="M45" i="1"/>
  <c r="O28" i="1"/>
  <c r="O47" i="1"/>
  <c r="M70" i="1"/>
  <c r="M29" i="1"/>
  <c r="O20" i="1"/>
  <c r="M12" i="1"/>
  <c r="O63" i="1"/>
  <c r="O68" i="1"/>
  <c r="M56" i="1"/>
  <c r="O31" i="1"/>
  <c r="M40" i="1"/>
  <c r="M39" i="1"/>
  <c r="M42" i="1"/>
  <c r="O19" i="1"/>
  <c r="M10" i="1"/>
  <c r="M59" i="1"/>
  <c r="O49" i="1"/>
  <c r="O30" i="1"/>
  <c r="M55" i="1"/>
  <c r="O50" i="1"/>
  <c r="M67" i="1"/>
  <c r="O43" i="1"/>
  <c r="M65" i="1"/>
  <c r="O18" i="1"/>
  <c r="M46" i="1"/>
  <c r="M27" i="1"/>
  <c r="O53" i="1"/>
  <c r="M41" i="1"/>
  <c r="M32" i="1"/>
  <c r="M54" i="1"/>
  <c r="M26" i="1"/>
  <c r="M52" i="1"/>
  <c r="O22" i="1"/>
  <c r="M13" i="1"/>
  <c r="M6" i="1"/>
  <c r="S6" i="1" s="1"/>
  <c r="O6" i="1"/>
  <c r="M35" i="1"/>
  <c r="M57" i="1"/>
  <c r="M48" i="1"/>
  <c r="M38" i="1"/>
  <c r="M60" i="1"/>
  <c r="O8" i="1"/>
  <c r="M34" i="1"/>
  <c r="M24" i="1"/>
  <c r="M16" i="1"/>
  <c r="O37" i="1"/>
  <c r="O11" i="1"/>
  <c r="O36" i="1"/>
  <c r="O14" i="1"/>
  <c r="O7" i="1"/>
  <c r="O21" i="1"/>
  <c r="O64" i="1"/>
  <c r="U6" i="1" l="1"/>
  <c r="W6" i="1" s="1"/>
  <c r="Y6" i="1" s="1"/>
  <c r="W5" i="1" s="1"/>
  <c r="Y3" i="1" s="1"/>
  <c r="P5" i="1"/>
  <c r="R3" i="1" s="1"/>
  <c r="M5" i="1"/>
  <c r="Z3" i="1" l="1"/>
  <c r="U5" i="1"/>
</calcChain>
</file>

<file path=xl/sharedStrings.xml><?xml version="1.0" encoding="utf-8"?>
<sst xmlns="http://schemas.openxmlformats.org/spreadsheetml/2006/main" count="555" uniqueCount="171">
  <si>
    <t>OBS</t>
  </si>
  <si>
    <t>ECA</t>
  </si>
  <si>
    <t>NEO</t>
  </si>
  <si>
    <t>PSS</t>
  </si>
  <si>
    <t>THL</t>
  </si>
  <si>
    <t>CYR</t>
  </si>
  <si>
    <t>THD</t>
  </si>
  <si>
    <t>PCT</t>
  </si>
  <si>
    <t>SCT</t>
  </si>
  <si>
    <t>AGS</t>
  </si>
  <si>
    <t>PUC</t>
  </si>
  <si>
    <t>DRP</t>
  </si>
  <si>
    <t>DOC</t>
  </si>
  <si>
    <t>DOF</t>
  </si>
  <si>
    <t>SLF</t>
  </si>
  <si>
    <t>CML</t>
  </si>
  <si>
    <t>CMD</t>
  </si>
  <si>
    <t>CSS</t>
  </si>
  <si>
    <t>CSC</t>
  </si>
  <si>
    <t>AMS</t>
  </si>
  <si>
    <t>HEA</t>
  </si>
  <si>
    <t>HAZ</t>
  </si>
  <si>
    <t>PSA</t>
  </si>
  <si>
    <t>FI</t>
  </si>
  <si>
    <t>FO</t>
  </si>
  <si>
    <t>Customer's Inclusive</t>
  </si>
  <si>
    <t>LT MRG Inclusive</t>
  </si>
  <si>
    <t>PRISIM Subject All</t>
  </si>
  <si>
    <t>BU</t>
  </si>
  <si>
    <t>CA</t>
  </si>
  <si>
    <t>CB</t>
  </si>
  <si>
    <t>Shortlisted Surcharge / Possible Applicable Surcharges</t>
  </si>
  <si>
    <t>CF</t>
  </si>
  <si>
    <t>ADC,ADD,AHA,BSC,CAF,CCC,CCU,CFD,CFD,CGD,CMC,CSS,CVC,DGS,ECA,EEC,EHL,EIS,ESD,FED,GAT,GOH,HAU,HAZ,HEA,HHA,IFL,INP,INS,LID,LLO,LOG,LOT,MBF,NEO,OCR,PSA,PSS,PUC,RMF,SCT,THL,TSL,WHF,WHO,WRC,XCA,XDD,XDD,XDL</t>
  </si>
  <si>
    <t>ADC</t>
  </si>
  <si>
    <t>ADD</t>
  </si>
  <si>
    <t>AHA</t>
  </si>
  <si>
    <t>BSC</t>
  </si>
  <si>
    <t>CAF</t>
  </si>
  <si>
    <t>CCC</t>
  </si>
  <si>
    <t>CCU</t>
  </si>
  <si>
    <t>CFD</t>
  </si>
  <si>
    <t>CGD</t>
  </si>
  <si>
    <t>CMC</t>
  </si>
  <si>
    <t>CVC</t>
  </si>
  <si>
    <t>DGS</t>
  </si>
  <si>
    <t>EEC</t>
  </si>
  <si>
    <t>EHL</t>
  </si>
  <si>
    <t>EIS</t>
  </si>
  <si>
    <t>ESD</t>
  </si>
  <si>
    <t>FED</t>
  </si>
  <si>
    <t>GAT</t>
  </si>
  <si>
    <t>GOH</t>
  </si>
  <si>
    <t>HAU</t>
  </si>
  <si>
    <t>HHA</t>
  </si>
  <si>
    <t>IFL</t>
  </si>
  <si>
    <t>INP</t>
  </si>
  <si>
    <t>INS</t>
  </si>
  <si>
    <t>LID</t>
  </si>
  <si>
    <t>LLO</t>
  </si>
  <si>
    <t>LOG</t>
  </si>
  <si>
    <t>LOT</t>
  </si>
  <si>
    <t>MBF</t>
  </si>
  <si>
    <t>OCR</t>
  </si>
  <si>
    <t>RMF</t>
  </si>
  <si>
    <t>TSL</t>
  </si>
  <si>
    <t>WHF</t>
  </si>
  <si>
    <t>WHO</t>
  </si>
  <si>
    <t>WRC</t>
  </si>
  <si>
    <t>XCA</t>
  </si>
  <si>
    <t>XDD</t>
  </si>
  <si>
    <t>XDL</t>
  </si>
  <si>
    <t>CSS,DOC,ECA,GAT,LLO,MBF,OBS,OCR,SCT,THL,TSL,XAF,XDD</t>
  </si>
  <si>
    <t>XAF</t>
  </si>
  <si>
    <t>FGP</t>
  </si>
  <si>
    <t>Customer's Subject/Fixed</t>
  </si>
  <si>
    <t>(1)</t>
  </si>
  <si>
    <t>(2)</t>
  </si>
  <si>
    <t>(3)</t>
  </si>
  <si>
    <t>(4)</t>
  </si>
  <si>
    <t>(5)</t>
  </si>
  <si>
    <t>(6)</t>
  </si>
  <si>
    <t>CST-S</t>
  </si>
  <si>
    <t>Marketing LT MRG</t>
  </si>
  <si>
    <t>OPUS PRISIM</t>
  </si>
  <si>
    <t>OPUS Surcharge Tariff</t>
  </si>
  <si>
    <t>Customer's T&amp;C</t>
  </si>
  <si>
    <t>Surcharge</t>
  </si>
  <si>
    <t>Back End Master</t>
  </si>
  <si>
    <t>Source:</t>
  </si>
  <si>
    <t>10-Original/10-2_TC Customer</t>
  </si>
  <si>
    <t>Location/Pricing Tool Column:</t>
  </si>
  <si>
    <t>BS</t>
  </si>
  <si>
    <t>Customer's Fixed</t>
  </si>
  <si>
    <t>IN TEXT</t>
  </si>
  <si>
    <t>BT</t>
  </si>
  <si>
    <t>(7)</t>
  </si>
  <si>
    <t>(8)</t>
  </si>
  <si>
    <t>(9)</t>
  </si>
  <si>
    <t>Pricing Tool</t>
  </si>
  <si>
    <t>Default Displayed Surcharges</t>
  </si>
  <si>
    <t>LT_MRG</t>
  </si>
  <si>
    <t>CUSTOMER_STRUCTURE</t>
  </si>
  <si>
    <t>Update Condition</t>
  </si>
  <si>
    <t>Y</t>
  </si>
  <si>
    <t>(10)</t>
  </si>
  <si>
    <t>(11)</t>
  </si>
  <si>
    <t>Right Hand Side Surcharges = What will Happen?</t>
  </si>
  <si>
    <t>New Column Inserted?</t>
  </si>
  <si>
    <t>(12)</t>
  </si>
  <si>
    <t>(13)</t>
  </si>
  <si>
    <t>What Will You Be Using For Your Benchmark Rate Offers?</t>
  </si>
  <si>
    <t>(14)</t>
  </si>
  <si>
    <t>Dummy Amount USD</t>
  </si>
  <si>
    <t>Dummy Value (for Visualization)</t>
  </si>
  <si>
    <t>Will This (Column 12) Be Considered In Your All In Calculation?</t>
  </si>
  <si>
    <r>
      <t xml:space="preserve">Service Scope: </t>
    </r>
    <r>
      <rPr>
        <b/>
        <sz val="11"/>
        <color theme="1"/>
        <rFont val="Calibri"/>
        <family val="2"/>
        <scheme val="minor"/>
      </rPr>
      <t>WEE</t>
    </r>
    <r>
      <rPr>
        <sz val="11"/>
        <color theme="1"/>
        <rFont val="Calibri"/>
        <family val="2"/>
        <scheme val="minor"/>
      </rPr>
      <t xml:space="preserve">
Surcharge: </t>
    </r>
    <r>
      <rPr>
        <b/>
        <sz val="11"/>
        <color theme="1"/>
        <rFont val="Calibri"/>
        <family val="2"/>
        <scheme val="minor"/>
      </rPr>
      <t>All Auto Rating Surcharges</t>
    </r>
    <r>
      <rPr>
        <sz val="11"/>
        <color theme="1"/>
        <rFont val="Calibri"/>
        <family val="2"/>
        <scheme val="minor"/>
      </rPr>
      <t xml:space="preserve">
Sample Port Pair: </t>
    </r>
    <r>
      <rPr>
        <b/>
        <sz val="11"/>
        <color theme="1"/>
        <rFont val="Calibri"/>
        <family val="2"/>
        <scheme val="minor"/>
      </rPr>
      <t xml:space="preserve">BEANR/SAJED
</t>
    </r>
    <r>
      <rPr>
        <sz val="11"/>
        <color theme="1"/>
        <rFont val="Calibri"/>
        <family val="2"/>
        <scheme val="minor"/>
      </rPr>
      <t>LT MRG OFT:</t>
    </r>
    <r>
      <rPr>
        <b/>
        <sz val="11"/>
        <color theme="1"/>
        <rFont val="Calibri"/>
        <family val="2"/>
        <scheme val="minor"/>
      </rPr>
      <t xml:space="preserve"> USD 800</t>
    </r>
  </si>
  <si>
    <t>All In Calculation</t>
  </si>
  <si>
    <t>Base Freight Result</t>
  </si>
  <si>
    <t>Default Pricing Tool Visible</t>
  </si>
  <si>
    <t>C</t>
  </si>
  <si>
    <t>A</t>
  </si>
  <si>
    <t>B</t>
  </si>
  <si>
    <t>LT MRG or CUSTOMER</t>
  </si>
  <si>
    <t>=</t>
  </si>
  <si>
    <t>PRISIM</t>
  </si>
  <si>
    <t>-</t>
  </si>
  <si>
    <t>APPLICABLE SURCHARGES</t>
  </si>
  <si>
    <t>SUBJECT ALL SURCHARGES</t>
  </si>
  <si>
    <t>INCLUSIVE SURCHARGES</t>
  </si>
  <si>
    <t>column CB</t>
  </si>
  <si>
    <t>F</t>
  </si>
  <si>
    <t>D</t>
  </si>
  <si>
    <t>E</t>
  </si>
  <si>
    <t>ALL IN</t>
  </si>
  <si>
    <t>ROUND 1 BENCHMARK RATES</t>
  </si>
  <si>
    <t>+</t>
  </si>
  <si>
    <t>CALCULATION</t>
  </si>
  <si>
    <t>OFT + ARO + ARD</t>
  </si>
  <si>
    <t>H</t>
  </si>
  <si>
    <t>BASE FREIGHT</t>
  </si>
  <si>
    <t>CUSTOMER</t>
  </si>
  <si>
    <t>APPLICABLE TO SURCHARGES</t>
  </si>
  <si>
    <t>Case 1</t>
  </si>
  <si>
    <t>LT MRG</t>
  </si>
  <si>
    <t>Customer Request</t>
  </si>
  <si>
    <t>Subject to OBS Only</t>
  </si>
  <si>
    <t>LT MRG =  Subject to OBS, THL, THD</t>
  </si>
  <si>
    <t>20'</t>
  </si>
  <si>
    <t>40'</t>
  </si>
  <si>
    <t>HC'</t>
  </si>
  <si>
    <t>Reference Base</t>
  </si>
  <si>
    <t>Formula</t>
  </si>
  <si>
    <t>All In</t>
  </si>
  <si>
    <t>A + B</t>
  </si>
  <si>
    <t>Base Rate</t>
  </si>
  <si>
    <t>D - C</t>
  </si>
  <si>
    <t>Case 2</t>
  </si>
  <si>
    <t>Base (LT MRG)</t>
  </si>
  <si>
    <t>Benchmark/Offer Rate</t>
  </si>
  <si>
    <t>Current Contract</t>
  </si>
  <si>
    <t>Subject to OBS and THL Only</t>
  </si>
  <si>
    <t>Case 3</t>
  </si>
  <si>
    <t>Case 4</t>
  </si>
  <si>
    <t>Case 5</t>
  </si>
  <si>
    <t>Case 6</t>
  </si>
  <si>
    <t>EES</t>
  </si>
  <si>
    <t>Subject All =  OBS, THL, THD, EES</t>
  </si>
  <si>
    <t>Manual Input By Pricer</t>
  </si>
  <si>
    <t>Base (Manual Input)</t>
  </si>
  <si>
    <t>Subject to OBS, THL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</si>
</sst>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164" formatCode="[$USD]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D0F7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3" borderId="0" xfId="0" quotePrefix="1" applyFont="1" applyFill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right"/>
    </xf>
    <xf numFmtId="0" fontId="3" fillId="2" borderId="0" xfId="0" applyFont="1" applyFill="1" applyAlignment="1">
      <alignment horizont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164" fontId="1" fillId="5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6" fontId="0" fillId="0" borderId="0" xfId="0" applyNumberFormat="1"/>
    <xf numFmtId="0" fontId="3" fillId="6" borderId="0" xfId="0" applyFont="1" applyFill="1"/>
    <xf numFmtId="0" fontId="0" fillId="6" borderId="0" xfId="0" applyFill="1"/>
    <xf numFmtId="0" fontId="5" fillId="6" borderId="0" xfId="0" applyFont="1" applyFill="1"/>
    <xf numFmtId="0" fontId="6" fillId="6" borderId="0" xfId="0" applyFont="1" applyFill="1"/>
    <xf numFmtId="0" fontId="3" fillId="6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6" borderId="0" xfId="0" quotePrefix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7" borderId="0" xfId="0" quotePrefix="1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8" borderId="0" xfId="0" quotePrefix="1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9" borderId="0" xfId="0" quotePrefix="1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10" borderId="0" xfId="0" quotePrefix="1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0" fillId="11" borderId="0" xfId="0" quotePrefix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textRotation="90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BD0F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E7EA7-93FC-4621-AE98-608080B8EC8C}">
  <dimension ref="C3:G25"/>
  <sheetViews>
    <sheetView showGridLines="0" topLeftCell="A34" zoomScale="130" zoomScaleNormal="130" workbookViewId="0">
      <selection activeCell="E10" sqref="E10"/>
    </sheetView>
  </sheetViews>
  <sheetFormatPr defaultRowHeight="14.4" x14ac:dyDescent="0.3"/>
  <cols>
    <col min="3" max="3" width="30" customWidth="1"/>
    <col min="5" max="5" width="30" customWidth="1"/>
    <col min="7" max="7" width="55.5546875" bestFit="1" customWidth="1"/>
  </cols>
  <sheetData>
    <row r="3" spans="3:7" x14ac:dyDescent="0.3">
      <c r="C3" s="13"/>
      <c r="E3" s="14"/>
      <c r="G3" s="15"/>
    </row>
    <row r="4" spans="3:7" x14ac:dyDescent="0.3">
      <c r="D4" s="2"/>
      <c r="F4" s="2"/>
    </row>
    <row r="9" spans="3:7" x14ac:dyDescent="0.3">
      <c r="C9" s="13" t="s">
        <v>120</v>
      </c>
      <c r="E9" s="14" t="s">
        <v>121</v>
      </c>
      <c r="G9" s="15" t="s">
        <v>122</v>
      </c>
    </row>
    <row r="10" spans="3:7" x14ac:dyDescent="0.3">
      <c r="C10" t="s">
        <v>123</v>
      </c>
      <c r="D10" s="2" t="s">
        <v>124</v>
      </c>
      <c r="E10" t="s">
        <v>125</v>
      </c>
      <c r="F10" s="2" t="s">
        <v>126</v>
      </c>
      <c r="G10" t="s">
        <v>123</v>
      </c>
    </row>
    <row r="11" spans="3:7" x14ac:dyDescent="0.3">
      <c r="C11" t="s">
        <v>127</v>
      </c>
      <c r="E11" t="s">
        <v>128</v>
      </c>
      <c r="G11" t="s">
        <v>129</v>
      </c>
    </row>
    <row r="12" spans="3:7" x14ac:dyDescent="0.3">
      <c r="E12" t="s">
        <v>130</v>
      </c>
    </row>
    <row r="13" spans="3:7" x14ac:dyDescent="0.3">
      <c r="E13" s="16"/>
    </row>
    <row r="17" spans="3:7" s="18" customFormat="1" x14ac:dyDescent="0.3">
      <c r="C17" s="17" t="s">
        <v>131</v>
      </c>
      <c r="E17" s="19" t="s">
        <v>132</v>
      </c>
      <c r="G17" s="20" t="s">
        <v>133</v>
      </c>
    </row>
    <row r="18" spans="3:7" s="18" customFormat="1" x14ac:dyDescent="0.3">
      <c r="C18" s="18" t="s">
        <v>134</v>
      </c>
      <c r="D18" s="21" t="s">
        <v>124</v>
      </c>
      <c r="E18" s="18" t="s">
        <v>135</v>
      </c>
      <c r="F18" s="21" t="s">
        <v>136</v>
      </c>
      <c r="G18" s="18" t="s">
        <v>135</v>
      </c>
    </row>
    <row r="19" spans="3:7" s="18" customFormat="1" x14ac:dyDescent="0.3">
      <c r="C19" s="18" t="s">
        <v>137</v>
      </c>
      <c r="E19" s="18" t="s">
        <v>138</v>
      </c>
      <c r="G19" s="18" t="s">
        <v>127</v>
      </c>
    </row>
    <row r="23" spans="3:7" x14ac:dyDescent="0.3">
      <c r="C23" s="13" t="s">
        <v>139</v>
      </c>
      <c r="E23" s="13" t="s">
        <v>131</v>
      </c>
      <c r="G23" s="13" t="s">
        <v>120</v>
      </c>
    </row>
    <row r="24" spans="3:7" x14ac:dyDescent="0.3">
      <c r="C24" t="s">
        <v>140</v>
      </c>
      <c r="D24" s="2" t="s">
        <v>124</v>
      </c>
      <c r="E24" s="18" t="s">
        <v>134</v>
      </c>
      <c r="F24" s="2" t="s">
        <v>126</v>
      </c>
      <c r="G24" t="s">
        <v>141</v>
      </c>
    </row>
    <row r="25" spans="3:7" x14ac:dyDescent="0.3">
      <c r="C25" t="s">
        <v>137</v>
      </c>
      <c r="E25" s="18" t="s">
        <v>137</v>
      </c>
      <c r="G25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DE1D-D1D0-40E4-A39B-BC56895FCD06}">
  <dimension ref="B2:U55"/>
  <sheetViews>
    <sheetView tabSelected="1" workbookViewId="0">
      <selection activeCell="U36" sqref="B2:U36"/>
    </sheetView>
  </sheetViews>
  <sheetFormatPr defaultRowHeight="14.4" x14ac:dyDescent="0.3"/>
  <cols>
    <col min="4" max="4" width="23.5546875" bestFit="1" customWidth="1"/>
    <col min="8" max="8" width="8.88671875" customWidth="1"/>
    <col min="11" max="11" width="23.5546875" bestFit="1" customWidth="1"/>
    <col min="18" max="18" width="23.5546875" bestFit="1" customWidth="1"/>
  </cols>
  <sheetData>
    <row r="2" spans="2:21" x14ac:dyDescent="0.3">
      <c r="B2" s="18" t="s">
        <v>152</v>
      </c>
      <c r="C2" s="18"/>
      <c r="D2" s="18" t="s">
        <v>143</v>
      </c>
      <c r="E2" s="18"/>
      <c r="F2" s="18"/>
      <c r="G2" s="18"/>
      <c r="H2" s="18"/>
      <c r="I2" s="27" t="s">
        <v>152</v>
      </c>
      <c r="J2" s="27"/>
      <c r="K2" s="27" t="s">
        <v>157</v>
      </c>
      <c r="L2" s="27"/>
      <c r="M2" s="27"/>
      <c r="N2" s="27"/>
      <c r="O2" s="27"/>
      <c r="P2" s="31" t="s">
        <v>152</v>
      </c>
      <c r="Q2" s="31"/>
      <c r="R2" s="31" t="s">
        <v>162</v>
      </c>
      <c r="S2" s="31"/>
      <c r="T2" s="31"/>
      <c r="U2" s="31"/>
    </row>
    <row r="3" spans="2:21" x14ac:dyDescent="0.3">
      <c r="B3" s="18"/>
      <c r="C3" s="18"/>
      <c r="D3" s="18"/>
      <c r="E3" s="18"/>
      <c r="F3" s="18"/>
      <c r="G3" s="18"/>
      <c r="H3" s="18"/>
      <c r="I3" s="27"/>
      <c r="J3" s="27"/>
      <c r="K3" s="27"/>
      <c r="L3" s="27"/>
      <c r="M3" s="27"/>
      <c r="N3" s="27"/>
      <c r="O3" s="27"/>
      <c r="P3" s="31"/>
      <c r="Q3" s="31"/>
      <c r="R3" s="31"/>
      <c r="S3" s="31"/>
      <c r="T3" s="31"/>
      <c r="U3" s="31"/>
    </row>
    <row r="4" spans="2:21" x14ac:dyDescent="0.3">
      <c r="B4" s="18"/>
      <c r="C4" s="24" t="s">
        <v>121</v>
      </c>
      <c r="D4" s="18" t="s">
        <v>159</v>
      </c>
      <c r="E4" s="18" t="s">
        <v>144</v>
      </c>
      <c r="F4" s="18"/>
      <c r="G4" s="18"/>
      <c r="H4" s="18"/>
      <c r="I4" s="27"/>
      <c r="J4" s="28" t="s">
        <v>121</v>
      </c>
      <c r="K4" s="27" t="s">
        <v>159</v>
      </c>
      <c r="L4" s="27" t="s">
        <v>144</v>
      </c>
      <c r="M4" s="27"/>
      <c r="N4" s="27"/>
      <c r="O4" s="27"/>
      <c r="P4" s="31"/>
      <c r="Q4" s="32" t="s">
        <v>121</v>
      </c>
      <c r="R4" s="31" t="s">
        <v>159</v>
      </c>
      <c r="S4" s="31" t="s">
        <v>144</v>
      </c>
      <c r="T4" s="31"/>
      <c r="U4" s="31"/>
    </row>
    <row r="5" spans="2:21" x14ac:dyDescent="0.3">
      <c r="B5" s="18"/>
      <c r="C5" s="24" t="s">
        <v>122</v>
      </c>
      <c r="D5" s="18" t="s">
        <v>151</v>
      </c>
      <c r="E5" s="18" t="s">
        <v>147</v>
      </c>
      <c r="F5" s="18"/>
      <c r="G5" s="18"/>
      <c r="H5" s="18"/>
      <c r="I5" s="27"/>
      <c r="J5" s="28" t="s">
        <v>122</v>
      </c>
      <c r="K5" s="27" t="s">
        <v>145</v>
      </c>
      <c r="L5" s="27" t="s">
        <v>146</v>
      </c>
      <c r="M5" s="27"/>
      <c r="N5" s="27"/>
      <c r="O5" s="27"/>
      <c r="P5" s="31"/>
      <c r="Q5" s="32" t="s">
        <v>122</v>
      </c>
      <c r="R5" s="31" t="s">
        <v>160</v>
      </c>
      <c r="S5" s="31" t="s">
        <v>161</v>
      </c>
      <c r="T5" s="31"/>
      <c r="U5" s="31"/>
    </row>
    <row r="6" spans="2:21" x14ac:dyDescent="0.3">
      <c r="B6" s="18"/>
      <c r="C6" s="24" t="s">
        <v>120</v>
      </c>
      <c r="D6" s="18" t="s">
        <v>145</v>
      </c>
      <c r="E6" s="18" t="s">
        <v>146</v>
      </c>
      <c r="F6" s="18"/>
      <c r="G6" s="18"/>
      <c r="H6" s="18"/>
      <c r="I6" s="27"/>
      <c r="J6" s="28" t="s">
        <v>120</v>
      </c>
      <c r="K6" s="27" t="s">
        <v>145</v>
      </c>
      <c r="L6" s="27" t="s">
        <v>146</v>
      </c>
      <c r="M6" s="27"/>
      <c r="N6" s="27"/>
      <c r="O6" s="27"/>
      <c r="P6" s="31"/>
      <c r="Q6" s="32" t="s">
        <v>120</v>
      </c>
      <c r="R6" s="31" t="s">
        <v>145</v>
      </c>
      <c r="S6" s="31" t="s">
        <v>146</v>
      </c>
      <c r="T6" s="31"/>
      <c r="U6" s="31"/>
    </row>
    <row r="7" spans="2:21" x14ac:dyDescent="0.3">
      <c r="B7" s="18"/>
      <c r="C7" s="24"/>
      <c r="D7" s="18"/>
      <c r="E7" s="18"/>
      <c r="F7" s="18"/>
      <c r="G7" s="18"/>
      <c r="H7" s="18"/>
      <c r="I7" s="27"/>
      <c r="J7" s="28"/>
      <c r="K7" s="27"/>
      <c r="L7" s="27"/>
      <c r="M7" s="27"/>
      <c r="N7" s="27"/>
      <c r="O7" s="27"/>
      <c r="P7" s="31"/>
      <c r="Q7" s="32"/>
      <c r="R7" s="31"/>
      <c r="S7" s="31"/>
      <c r="T7" s="31"/>
      <c r="U7" s="31"/>
    </row>
    <row r="8" spans="2:21" x14ac:dyDescent="0.3">
      <c r="B8" s="18"/>
      <c r="C8" s="24"/>
      <c r="D8" s="18"/>
      <c r="E8" s="18"/>
      <c r="F8" s="18"/>
      <c r="G8" s="18"/>
      <c r="H8" s="18"/>
      <c r="I8" s="27"/>
      <c r="J8" s="28"/>
      <c r="K8" s="27"/>
      <c r="L8" s="27"/>
      <c r="M8" s="27"/>
      <c r="N8" s="27"/>
      <c r="O8" s="27"/>
      <c r="P8" s="31"/>
      <c r="Q8" s="32"/>
      <c r="R8" s="31"/>
      <c r="S8" s="31"/>
      <c r="T8" s="31"/>
      <c r="U8" s="31"/>
    </row>
    <row r="9" spans="2:21" x14ac:dyDescent="0.3">
      <c r="B9" s="18"/>
      <c r="C9" s="24"/>
      <c r="D9" s="18"/>
      <c r="E9" s="25" t="s">
        <v>148</v>
      </c>
      <c r="F9" s="25" t="s">
        <v>149</v>
      </c>
      <c r="G9" s="25" t="s">
        <v>150</v>
      </c>
      <c r="H9" s="24"/>
      <c r="I9" s="27"/>
      <c r="J9" s="28"/>
      <c r="K9" s="27"/>
      <c r="L9" s="29" t="s">
        <v>148</v>
      </c>
      <c r="M9" s="29" t="s">
        <v>149</v>
      </c>
      <c r="N9" s="29" t="s">
        <v>150</v>
      </c>
      <c r="O9" s="28"/>
      <c r="P9" s="31"/>
      <c r="Q9" s="32"/>
      <c r="R9" s="31"/>
      <c r="S9" s="33" t="s">
        <v>148</v>
      </c>
      <c r="T9" s="33" t="s">
        <v>149</v>
      </c>
      <c r="U9" s="33" t="s">
        <v>150</v>
      </c>
    </row>
    <row r="10" spans="2:21" x14ac:dyDescent="0.3">
      <c r="B10" s="18"/>
      <c r="C10" s="24" t="s">
        <v>121</v>
      </c>
      <c r="D10" s="18" t="s">
        <v>158</v>
      </c>
      <c r="E10" s="25">
        <v>500</v>
      </c>
      <c r="F10" s="25">
        <v>1000</v>
      </c>
      <c r="G10" s="25">
        <v>1000</v>
      </c>
      <c r="H10" s="18"/>
      <c r="I10" s="27"/>
      <c r="J10" s="28" t="s">
        <v>121</v>
      </c>
      <c r="K10" s="27" t="s">
        <v>158</v>
      </c>
      <c r="L10" s="29">
        <v>500</v>
      </c>
      <c r="M10" s="29">
        <v>1000</v>
      </c>
      <c r="N10" s="29">
        <v>1000</v>
      </c>
      <c r="O10" s="27"/>
      <c r="P10" s="31"/>
      <c r="Q10" s="32" t="s">
        <v>121</v>
      </c>
      <c r="R10" s="31" t="s">
        <v>158</v>
      </c>
      <c r="S10" s="33">
        <v>500</v>
      </c>
      <c r="T10" s="33">
        <v>1000</v>
      </c>
      <c r="U10" s="33">
        <v>1000</v>
      </c>
    </row>
    <row r="11" spans="2:21" x14ac:dyDescent="0.3">
      <c r="B11" s="18"/>
      <c r="C11" s="48" t="s">
        <v>122</v>
      </c>
      <c r="D11" s="18" t="s">
        <v>0</v>
      </c>
      <c r="E11" s="25">
        <v>60</v>
      </c>
      <c r="F11" s="25">
        <v>120</v>
      </c>
      <c r="G11" s="25">
        <v>120</v>
      </c>
      <c r="H11" s="18"/>
      <c r="I11" s="27"/>
      <c r="J11" s="49" t="s">
        <v>122</v>
      </c>
      <c r="K11" s="27" t="s">
        <v>0</v>
      </c>
      <c r="L11" s="29">
        <v>60</v>
      </c>
      <c r="M11" s="29">
        <v>120</v>
      </c>
      <c r="N11" s="29">
        <v>120</v>
      </c>
      <c r="O11" s="27"/>
      <c r="P11" s="31"/>
      <c r="Q11" s="50" t="s">
        <v>122</v>
      </c>
      <c r="R11" s="31" t="s">
        <v>0</v>
      </c>
      <c r="S11" s="33">
        <v>60</v>
      </c>
      <c r="T11" s="33">
        <v>120</v>
      </c>
      <c r="U11" s="33">
        <v>120</v>
      </c>
    </row>
    <row r="12" spans="2:21" x14ac:dyDescent="0.3">
      <c r="B12" s="18"/>
      <c r="C12" s="48"/>
      <c r="D12" s="18" t="s">
        <v>4</v>
      </c>
      <c r="E12" s="25">
        <v>100</v>
      </c>
      <c r="F12" s="25">
        <v>200</v>
      </c>
      <c r="G12" s="25">
        <v>200</v>
      </c>
      <c r="H12" s="18"/>
      <c r="I12" s="27"/>
      <c r="J12" s="49"/>
      <c r="K12" s="27"/>
      <c r="L12" s="29"/>
      <c r="M12" s="29"/>
      <c r="N12" s="29"/>
      <c r="O12" s="27"/>
      <c r="P12" s="31"/>
      <c r="Q12" s="50"/>
      <c r="R12" s="31" t="s">
        <v>4</v>
      </c>
      <c r="S12" s="33">
        <v>100</v>
      </c>
      <c r="T12" s="33">
        <v>200</v>
      </c>
      <c r="U12" s="33">
        <v>200</v>
      </c>
    </row>
    <row r="13" spans="2:21" x14ac:dyDescent="0.3">
      <c r="B13" s="18"/>
      <c r="C13" s="48"/>
      <c r="D13" s="18" t="s">
        <v>6</v>
      </c>
      <c r="E13" s="25">
        <v>80</v>
      </c>
      <c r="F13" s="25">
        <v>160</v>
      </c>
      <c r="G13" s="25">
        <v>160</v>
      </c>
      <c r="H13" s="18"/>
      <c r="I13" s="27"/>
      <c r="J13" s="49"/>
      <c r="K13" s="27"/>
      <c r="L13" s="29"/>
      <c r="M13" s="29"/>
      <c r="N13" s="29"/>
      <c r="O13" s="27"/>
      <c r="P13" s="31"/>
      <c r="Q13" s="50"/>
      <c r="R13" s="31"/>
      <c r="S13" s="33"/>
      <c r="T13" s="33"/>
      <c r="U13" s="33"/>
    </row>
    <row r="14" spans="2:21" x14ac:dyDescent="0.3">
      <c r="B14" s="18"/>
      <c r="C14" s="24"/>
      <c r="D14" s="18"/>
      <c r="E14" s="18"/>
      <c r="F14" s="18"/>
      <c r="G14" s="18"/>
      <c r="H14" s="18"/>
      <c r="I14" s="27"/>
      <c r="J14" s="28"/>
      <c r="K14" s="27"/>
      <c r="L14" s="27"/>
      <c r="M14" s="27"/>
      <c r="N14" s="27"/>
      <c r="O14" s="27"/>
      <c r="P14" s="31"/>
      <c r="Q14" s="32"/>
      <c r="R14" s="31"/>
      <c r="S14" s="31"/>
      <c r="T14" s="31"/>
      <c r="U14" s="31"/>
    </row>
    <row r="15" spans="2:21" x14ac:dyDescent="0.3">
      <c r="B15" s="26" t="s">
        <v>154</v>
      </c>
      <c r="C15" s="24" t="s">
        <v>132</v>
      </c>
      <c r="D15" s="18" t="s">
        <v>153</v>
      </c>
      <c r="E15" s="24">
        <f>SUM(E10:E13)</f>
        <v>740</v>
      </c>
      <c r="F15" s="24">
        <f>SUM(F10:F13)</f>
        <v>1480</v>
      </c>
      <c r="G15" s="24">
        <f>SUM(G10:G13)</f>
        <v>1480</v>
      </c>
      <c r="H15" s="18"/>
      <c r="I15" s="30" t="s">
        <v>154</v>
      </c>
      <c r="J15" s="28" t="s">
        <v>132</v>
      </c>
      <c r="K15" s="27" t="s">
        <v>153</v>
      </c>
      <c r="L15" s="28">
        <f>SUM(L10:L13)</f>
        <v>560</v>
      </c>
      <c r="M15" s="28">
        <f>SUM(M10:M13)</f>
        <v>1120</v>
      </c>
      <c r="N15" s="28">
        <f>SUM(N10:N13)</f>
        <v>1120</v>
      </c>
      <c r="O15" s="27"/>
      <c r="P15" s="34" t="s">
        <v>154</v>
      </c>
      <c r="Q15" s="32" t="s">
        <v>132</v>
      </c>
      <c r="R15" s="31" t="s">
        <v>153</v>
      </c>
      <c r="S15" s="32">
        <f>SUM(S10:S13)</f>
        <v>660</v>
      </c>
      <c r="T15" s="32">
        <f>SUM(T10:T13)</f>
        <v>1320</v>
      </c>
      <c r="U15" s="32">
        <f>SUM(U10:U13)</f>
        <v>1320</v>
      </c>
    </row>
    <row r="16" spans="2:21" x14ac:dyDescent="0.3">
      <c r="B16" s="18"/>
      <c r="C16" s="18"/>
      <c r="D16" s="18"/>
      <c r="E16" s="18"/>
      <c r="F16" s="18"/>
      <c r="G16" s="18"/>
      <c r="H16" s="18"/>
      <c r="I16" s="27"/>
      <c r="J16" s="27"/>
      <c r="K16" s="27"/>
      <c r="L16" s="27"/>
      <c r="M16" s="27"/>
      <c r="N16" s="27"/>
      <c r="O16" s="27"/>
      <c r="P16" s="31"/>
      <c r="Q16" s="31"/>
      <c r="R16" s="31"/>
      <c r="S16" s="31"/>
      <c r="T16" s="31"/>
      <c r="U16" s="31"/>
    </row>
    <row r="17" spans="2:21" x14ac:dyDescent="0.3">
      <c r="B17" s="26" t="s">
        <v>156</v>
      </c>
      <c r="C17" s="24" t="s">
        <v>133</v>
      </c>
      <c r="D17" s="18" t="s">
        <v>155</v>
      </c>
      <c r="E17" s="24">
        <f>E15-E11</f>
        <v>680</v>
      </c>
      <c r="F17" s="24">
        <f>F15-F11</f>
        <v>1360</v>
      </c>
      <c r="G17" s="24">
        <f>G15-G11</f>
        <v>1360</v>
      </c>
      <c r="H17" s="18"/>
      <c r="I17" s="30" t="s">
        <v>156</v>
      </c>
      <c r="J17" s="28" t="s">
        <v>133</v>
      </c>
      <c r="K17" s="27" t="s">
        <v>155</v>
      </c>
      <c r="L17" s="28">
        <f>L15-L11</f>
        <v>500</v>
      </c>
      <c r="M17" s="28">
        <f>M15-M11</f>
        <v>1000</v>
      </c>
      <c r="N17" s="28">
        <f>N15-N11</f>
        <v>1000</v>
      </c>
      <c r="O17" s="27"/>
      <c r="P17" s="34" t="s">
        <v>156</v>
      </c>
      <c r="Q17" s="32" t="s">
        <v>133</v>
      </c>
      <c r="R17" s="31" t="s">
        <v>155</v>
      </c>
      <c r="S17" s="32">
        <f>S15-S11</f>
        <v>600</v>
      </c>
      <c r="T17" s="32">
        <f>T15-T11</f>
        <v>1200</v>
      </c>
      <c r="U17" s="32">
        <f>U15-U11</f>
        <v>1200</v>
      </c>
    </row>
    <row r="21" spans="2:21" x14ac:dyDescent="0.3">
      <c r="B21" s="35" t="s">
        <v>152</v>
      </c>
      <c r="C21" s="35"/>
      <c r="D21" s="35" t="s">
        <v>163</v>
      </c>
      <c r="E21" s="35"/>
      <c r="F21" s="35"/>
      <c r="G21" s="35"/>
      <c r="H21" s="35"/>
      <c r="I21" s="39" t="s">
        <v>152</v>
      </c>
      <c r="J21" s="39"/>
      <c r="K21" s="39" t="s">
        <v>164</v>
      </c>
      <c r="L21" s="39"/>
      <c r="M21" s="39"/>
      <c r="N21" s="39"/>
      <c r="O21" s="39"/>
      <c r="P21" s="43" t="s">
        <v>152</v>
      </c>
      <c r="Q21" s="43"/>
      <c r="R21" s="43" t="s">
        <v>165</v>
      </c>
      <c r="S21" s="43"/>
      <c r="T21" s="43"/>
      <c r="U21" s="43"/>
    </row>
    <row r="22" spans="2:21" x14ac:dyDescent="0.3">
      <c r="B22" s="35"/>
      <c r="C22" s="35"/>
      <c r="D22" s="35"/>
      <c r="E22" s="35"/>
      <c r="F22" s="35"/>
      <c r="G22" s="35"/>
      <c r="H22" s="35"/>
      <c r="I22" s="39"/>
      <c r="J22" s="39"/>
      <c r="K22" s="39"/>
      <c r="L22" s="39"/>
      <c r="M22" s="39"/>
      <c r="N22" s="39"/>
      <c r="O22" s="39"/>
      <c r="P22" s="43"/>
      <c r="Q22" s="43"/>
      <c r="R22" s="43"/>
      <c r="S22" s="43"/>
      <c r="T22" s="43"/>
      <c r="U22" s="43"/>
    </row>
    <row r="23" spans="2:21" x14ac:dyDescent="0.3">
      <c r="B23" s="35"/>
      <c r="C23" s="36" t="s">
        <v>121</v>
      </c>
      <c r="D23" s="35" t="s">
        <v>159</v>
      </c>
      <c r="E23" s="35" t="s">
        <v>144</v>
      </c>
      <c r="F23" s="35"/>
      <c r="G23" s="35"/>
      <c r="H23" s="35"/>
      <c r="I23" s="39"/>
      <c r="J23" s="40" t="s">
        <v>121</v>
      </c>
      <c r="K23" s="39" t="s">
        <v>159</v>
      </c>
      <c r="L23" s="39" t="s">
        <v>144</v>
      </c>
      <c r="M23" s="39"/>
      <c r="N23" s="39"/>
      <c r="O23" s="39"/>
      <c r="P23" s="43"/>
      <c r="Q23" s="44" t="s">
        <v>121</v>
      </c>
      <c r="R23" s="43" t="s">
        <v>159</v>
      </c>
      <c r="S23" s="43" t="s">
        <v>168</v>
      </c>
      <c r="T23" s="43"/>
      <c r="U23" s="43"/>
    </row>
    <row r="24" spans="2:21" x14ac:dyDescent="0.3">
      <c r="B24" s="35"/>
      <c r="C24" s="36" t="s">
        <v>122</v>
      </c>
      <c r="D24" s="35" t="s">
        <v>151</v>
      </c>
      <c r="E24" s="35" t="s">
        <v>167</v>
      </c>
      <c r="F24" s="35"/>
      <c r="G24" s="35"/>
      <c r="H24" s="35"/>
      <c r="I24" s="39"/>
      <c r="J24" s="40" t="s">
        <v>122</v>
      </c>
      <c r="K24" s="39" t="s">
        <v>145</v>
      </c>
      <c r="L24" s="39" t="s">
        <v>153</v>
      </c>
      <c r="M24" s="39"/>
      <c r="N24" s="39"/>
      <c r="O24" s="39"/>
      <c r="P24" s="43"/>
      <c r="Q24" s="44" t="s">
        <v>122</v>
      </c>
      <c r="R24" s="43" t="s">
        <v>151</v>
      </c>
      <c r="S24" s="43" t="s">
        <v>147</v>
      </c>
      <c r="T24" s="43"/>
      <c r="U24" s="43"/>
    </row>
    <row r="25" spans="2:21" x14ac:dyDescent="0.3">
      <c r="B25" s="35"/>
      <c r="C25" s="36" t="s">
        <v>120</v>
      </c>
      <c r="D25" s="35" t="s">
        <v>145</v>
      </c>
      <c r="E25" s="35" t="s">
        <v>146</v>
      </c>
      <c r="F25" s="35"/>
      <c r="G25" s="35"/>
      <c r="H25" s="35"/>
      <c r="I25" s="39"/>
      <c r="J25" s="40" t="s">
        <v>120</v>
      </c>
      <c r="K25" s="39" t="s">
        <v>145</v>
      </c>
      <c r="L25" s="39" t="s">
        <v>146</v>
      </c>
      <c r="M25" s="39"/>
      <c r="N25" s="39"/>
      <c r="O25" s="39"/>
      <c r="P25" s="43"/>
      <c r="Q25" s="44" t="s">
        <v>120</v>
      </c>
      <c r="R25" s="43" t="s">
        <v>145</v>
      </c>
      <c r="S25" s="43" t="s">
        <v>170</v>
      </c>
      <c r="T25" s="43"/>
      <c r="U25" s="43"/>
    </row>
    <row r="26" spans="2:21" x14ac:dyDescent="0.3">
      <c r="B26" s="35"/>
      <c r="C26" s="36"/>
      <c r="D26" s="35"/>
      <c r="E26" s="35"/>
      <c r="F26" s="35"/>
      <c r="G26" s="35"/>
      <c r="H26" s="35"/>
      <c r="I26" s="39"/>
      <c r="J26" s="40"/>
      <c r="K26" s="39"/>
      <c r="L26" s="39"/>
      <c r="M26" s="39"/>
      <c r="N26" s="39"/>
      <c r="O26" s="39"/>
      <c r="P26" s="43"/>
      <c r="Q26" s="44"/>
      <c r="R26" s="43"/>
      <c r="S26" s="43"/>
      <c r="T26" s="43"/>
      <c r="U26" s="43"/>
    </row>
    <row r="27" spans="2:21" x14ac:dyDescent="0.3">
      <c r="B27" s="35"/>
      <c r="C27" s="36"/>
      <c r="D27" s="35"/>
      <c r="E27" s="35"/>
      <c r="F27" s="35"/>
      <c r="G27" s="35"/>
      <c r="H27" s="35"/>
      <c r="I27" s="39"/>
      <c r="J27" s="40"/>
      <c r="K27" s="39"/>
      <c r="L27" s="39"/>
      <c r="M27" s="39"/>
      <c r="N27" s="39"/>
      <c r="O27" s="39"/>
      <c r="P27" s="43"/>
      <c r="Q27" s="44"/>
      <c r="R27" s="43"/>
      <c r="S27" s="43"/>
      <c r="T27" s="43"/>
      <c r="U27" s="43"/>
    </row>
    <row r="28" spans="2:21" x14ac:dyDescent="0.3">
      <c r="B28" s="35"/>
      <c r="C28" s="36"/>
      <c r="D28" s="35"/>
      <c r="E28" s="37" t="s">
        <v>148</v>
      </c>
      <c r="F28" s="37" t="s">
        <v>149</v>
      </c>
      <c r="G28" s="37" t="s">
        <v>150</v>
      </c>
      <c r="H28" s="36"/>
      <c r="I28" s="39"/>
      <c r="J28" s="40"/>
      <c r="K28" s="39"/>
      <c r="L28" s="41" t="s">
        <v>148</v>
      </c>
      <c r="M28" s="41" t="s">
        <v>149</v>
      </c>
      <c r="N28" s="41" t="s">
        <v>150</v>
      </c>
      <c r="O28" s="40"/>
      <c r="P28" s="43"/>
      <c r="Q28" s="44"/>
      <c r="R28" s="43"/>
      <c r="S28" s="45" t="s">
        <v>148</v>
      </c>
      <c r="T28" s="45" t="s">
        <v>149</v>
      </c>
      <c r="U28" s="45" t="s">
        <v>150</v>
      </c>
    </row>
    <row r="29" spans="2:21" x14ac:dyDescent="0.3">
      <c r="B29" s="35"/>
      <c r="C29" s="36" t="s">
        <v>121</v>
      </c>
      <c r="D29" s="35" t="s">
        <v>158</v>
      </c>
      <c r="E29" s="37">
        <v>500</v>
      </c>
      <c r="F29" s="37">
        <v>1000</v>
      </c>
      <c r="G29" s="37">
        <v>1000</v>
      </c>
      <c r="H29" s="35"/>
      <c r="I29" s="39"/>
      <c r="J29" s="40" t="s">
        <v>121</v>
      </c>
      <c r="K29" s="39" t="s">
        <v>158</v>
      </c>
      <c r="L29" s="41">
        <v>500</v>
      </c>
      <c r="M29" s="41">
        <v>1000</v>
      </c>
      <c r="N29" s="41">
        <v>1000</v>
      </c>
      <c r="O29" s="39"/>
      <c r="P29" s="43"/>
      <c r="Q29" s="44" t="s">
        <v>121</v>
      </c>
      <c r="R29" s="43" t="s">
        <v>169</v>
      </c>
      <c r="S29" s="45">
        <v>450</v>
      </c>
      <c r="T29" s="45">
        <v>900</v>
      </c>
      <c r="U29" s="45">
        <v>900</v>
      </c>
    </row>
    <row r="30" spans="2:21" x14ac:dyDescent="0.3">
      <c r="B30" s="35"/>
      <c r="C30" s="53" t="s">
        <v>122</v>
      </c>
      <c r="D30" s="35" t="s">
        <v>0</v>
      </c>
      <c r="E30" s="37">
        <v>60</v>
      </c>
      <c r="F30" s="37">
        <v>120</v>
      </c>
      <c r="G30" s="37">
        <v>120</v>
      </c>
      <c r="H30" s="35"/>
      <c r="I30" s="39"/>
      <c r="J30" s="51" t="s">
        <v>122</v>
      </c>
      <c r="K30" s="39"/>
      <c r="L30" s="41"/>
      <c r="M30" s="41"/>
      <c r="N30" s="41"/>
      <c r="O30" s="39"/>
      <c r="P30" s="43"/>
      <c r="Q30" s="52" t="s">
        <v>122</v>
      </c>
      <c r="R30" s="43" t="s">
        <v>0</v>
      </c>
      <c r="S30" s="45">
        <v>60</v>
      </c>
      <c r="T30" s="45">
        <v>120</v>
      </c>
      <c r="U30" s="45">
        <v>120</v>
      </c>
    </row>
    <row r="31" spans="2:21" x14ac:dyDescent="0.3">
      <c r="B31" s="35"/>
      <c r="C31" s="53"/>
      <c r="D31" s="35" t="s">
        <v>4</v>
      </c>
      <c r="E31" s="37">
        <v>100</v>
      </c>
      <c r="F31" s="37">
        <v>200</v>
      </c>
      <c r="G31" s="37">
        <v>200</v>
      </c>
      <c r="H31" s="35"/>
      <c r="I31" s="39"/>
      <c r="J31" s="51"/>
      <c r="K31" s="39"/>
      <c r="L31" s="41"/>
      <c r="M31" s="41"/>
      <c r="N31" s="41"/>
      <c r="O31" s="39"/>
      <c r="P31" s="43"/>
      <c r="Q31" s="52"/>
      <c r="R31" s="43" t="s">
        <v>4</v>
      </c>
      <c r="S31" s="45">
        <v>100</v>
      </c>
      <c r="T31" s="45">
        <v>200</v>
      </c>
      <c r="U31" s="45">
        <v>200</v>
      </c>
    </row>
    <row r="32" spans="2:21" x14ac:dyDescent="0.3">
      <c r="B32" s="35"/>
      <c r="C32" s="53"/>
      <c r="D32" s="35" t="s">
        <v>6</v>
      </c>
      <c r="E32" s="37">
        <v>80</v>
      </c>
      <c r="F32" s="37">
        <v>160</v>
      </c>
      <c r="G32" s="37">
        <v>160</v>
      </c>
      <c r="H32" s="35"/>
      <c r="I32" s="39"/>
      <c r="J32" s="51"/>
      <c r="K32" s="39"/>
      <c r="L32" s="41"/>
      <c r="M32" s="41"/>
      <c r="N32" s="41"/>
      <c r="O32" s="39"/>
      <c r="P32" s="43"/>
      <c r="Q32" s="52"/>
      <c r="R32" s="43" t="s">
        <v>6</v>
      </c>
      <c r="S32" s="45">
        <v>80</v>
      </c>
      <c r="T32" s="45">
        <v>160</v>
      </c>
      <c r="U32" s="45">
        <v>160</v>
      </c>
    </row>
    <row r="33" spans="2:21" x14ac:dyDescent="0.3">
      <c r="B33" s="35"/>
      <c r="C33" s="53"/>
      <c r="D33" s="35" t="s">
        <v>166</v>
      </c>
      <c r="E33" s="37">
        <v>65</v>
      </c>
      <c r="F33" s="37">
        <v>130</v>
      </c>
      <c r="G33" s="37">
        <v>130</v>
      </c>
      <c r="H33" s="35"/>
      <c r="I33" s="39"/>
      <c r="J33" s="40"/>
      <c r="K33" s="39"/>
      <c r="L33" s="39"/>
      <c r="M33" s="39"/>
      <c r="N33" s="39"/>
      <c r="O33" s="39"/>
      <c r="P33" s="43"/>
      <c r="Q33" s="44"/>
      <c r="R33" s="43"/>
      <c r="S33" s="43"/>
      <c r="T33" s="43"/>
      <c r="U33" s="43"/>
    </row>
    <row r="34" spans="2:21" x14ac:dyDescent="0.3">
      <c r="B34" s="38" t="s">
        <v>154</v>
      </c>
      <c r="C34" s="36" t="s">
        <v>132</v>
      </c>
      <c r="D34" s="35" t="s">
        <v>153</v>
      </c>
      <c r="E34" s="36">
        <f>SUM(E29:E33)</f>
        <v>805</v>
      </c>
      <c r="F34" s="36">
        <f>SUM(F29:F33)</f>
        <v>1610</v>
      </c>
      <c r="G34" s="36">
        <f>SUM(G29:G33)</f>
        <v>1610</v>
      </c>
      <c r="H34" s="35"/>
      <c r="I34" s="42" t="s">
        <v>154</v>
      </c>
      <c r="J34" s="40" t="s">
        <v>132</v>
      </c>
      <c r="K34" s="39" t="s">
        <v>153</v>
      </c>
      <c r="L34" s="40">
        <f>SUM(L29:L32)</f>
        <v>500</v>
      </c>
      <c r="M34" s="40">
        <f>SUM(M29:M32)</f>
        <v>1000</v>
      </c>
      <c r="N34" s="40">
        <f>SUM(N29:N32)</f>
        <v>1000</v>
      </c>
      <c r="O34" s="39"/>
      <c r="P34" s="46" t="s">
        <v>154</v>
      </c>
      <c r="Q34" s="44" t="s">
        <v>132</v>
      </c>
      <c r="R34" s="43" t="s">
        <v>153</v>
      </c>
      <c r="S34" s="44">
        <f>SUM(S29:S32)</f>
        <v>690</v>
      </c>
      <c r="T34" s="44">
        <f>SUM(T29:T32)</f>
        <v>1380</v>
      </c>
      <c r="U34" s="44">
        <f>SUM(U29:U32)</f>
        <v>1380</v>
      </c>
    </row>
    <row r="35" spans="2:21" x14ac:dyDescent="0.3">
      <c r="B35" s="35"/>
      <c r="C35" s="35"/>
      <c r="D35" s="35"/>
      <c r="E35" s="35"/>
      <c r="F35" s="35"/>
      <c r="G35" s="35"/>
      <c r="H35" s="35"/>
      <c r="I35" s="39"/>
      <c r="J35" s="39"/>
      <c r="K35" s="39"/>
      <c r="L35" s="39"/>
      <c r="M35" s="39"/>
      <c r="N35" s="39"/>
      <c r="O35" s="39"/>
      <c r="P35" s="43"/>
      <c r="Q35" s="43"/>
      <c r="R35" s="43"/>
      <c r="S35" s="43"/>
      <c r="T35" s="43"/>
      <c r="U35" s="43"/>
    </row>
    <row r="36" spans="2:21" x14ac:dyDescent="0.3">
      <c r="B36" s="38" t="s">
        <v>156</v>
      </c>
      <c r="C36" s="36" t="s">
        <v>133</v>
      </c>
      <c r="D36" s="35" t="s">
        <v>155</v>
      </c>
      <c r="E36" s="36">
        <f>E34-E30</f>
        <v>745</v>
      </c>
      <c r="F36" s="36">
        <f>F34-F30</f>
        <v>1490</v>
      </c>
      <c r="G36" s="36">
        <f>G34-G30</f>
        <v>1490</v>
      </c>
      <c r="H36" s="35"/>
      <c r="I36" s="42" t="s">
        <v>156</v>
      </c>
      <c r="J36" s="40" t="s">
        <v>133</v>
      </c>
      <c r="K36" s="39" t="s">
        <v>155</v>
      </c>
      <c r="L36" s="40">
        <f>L34-L11</f>
        <v>440</v>
      </c>
      <c r="M36" s="40">
        <f>M34-M11</f>
        <v>880</v>
      </c>
      <c r="N36" s="40">
        <f>N34-N11</f>
        <v>880</v>
      </c>
      <c r="O36" s="39"/>
      <c r="P36" s="46" t="s">
        <v>156</v>
      </c>
      <c r="Q36" s="44" t="s">
        <v>133</v>
      </c>
      <c r="R36" s="43" t="s">
        <v>155</v>
      </c>
      <c r="S36" s="44">
        <f>S34-S30-S31</f>
        <v>530</v>
      </c>
      <c r="T36" s="44">
        <f>T34-T30-T31</f>
        <v>1060</v>
      </c>
      <c r="U36" s="44">
        <f>U34-U30-U31</f>
        <v>1060</v>
      </c>
    </row>
    <row r="42" spans="2:21" x14ac:dyDescent="0.3">
      <c r="C42" s="1"/>
    </row>
    <row r="43" spans="2:21" x14ac:dyDescent="0.3">
      <c r="C43" s="1"/>
    </row>
    <row r="44" spans="2:21" x14ac:dyDescent="0.3">
      <c r="C44" s="1"/>
    </row>
    <row r="45" spans="2:21" x14ac:dyDescent="0.3">
      <c r="C45" s="1"/>
    </row>
    <row r="46" spans="2:21" x14ac:dyDescent="0.3">
      <c r="C46" s="1"/>
    </row>
    <row r="47" spans="2:21" x14ac:dyDescent="0.3">
      <c r="C47" s="1"/>
      <c r="E47" s="22"/>
      <c r="F47" s="22"/>
      <c r="G47" s="22"/>
    </row>
    <row r="48" spans="2:21" x14ac:dyDescent="0.3">
      <c r="C48" s="1"/>
      <c r="E48" s="22"/>
      <c r="F48" s="22"/>
      <c r="G48" s="22"/>
    </row>
    <row r="49" spans="2:7" x14ac:dyDescent="0.3">
      <c r="C49" s="47"/>
      <c r="E49" s="22"/>
      <c r="F49" s="22"/>
      <c r="G49" s="22"/>
    </row>
    <row r="50" spans="2:7" x14ac:dyDescent="0.3">
      <c r="C50" s="47"/>
      <c r="E50" s="22"/>
      <c r="F50" s="22"/>
      <c r="G50" s="22"/>
    </row>
    <row r="51" spans="2:7" x14ac:dyDescent="0.3">
      <c r="C51" s="47"/>
      <c r="E51" s="22"/>
      <c r="F51" s="22"/>
      <c r="G51" s="22"/>
    </row>
    <row r="52" spans="2:7" x14ac:dyDescent="0.3">
      <c r="C52" s="1"/>
    </row>
    <row r="53" spans="2:7" x14ac:dyDescent="0.3">
      <c r="B53" s="23"/>
      <c r="C53" s="1"/>
      <c r="E53" s="1"/>
      <c r="F53" s="1"/>
      <c r="G53" s="1"/>
    </row>
    <row r="55" spans="2:7" x14ac:dyDescent="0.3">
      <c r="B55" s="23" t="s">
        <v>156</v>
      </c>
      <c r="C55" s="1" t="s">
        <v>133</v>
      </c>
      <c r="D55" t="s">
        <v>155</v>
      </c>
      <c r="E55" s="1">
        <f>E53-E49-E50</f>
        <v>0</v>
      </c>
      <c r="F55" s="1">
        <f>F53-F49-F50</f>
        <v>0</v>
      </c>
      <c r="G55" s="1">
        <f>G53-G49-G50</f>
        <v>0</v>
      </c>
    </row>
  </sheetData>
  <mergeCells count="7">
    <mergeCell ref="C49:C51"/>
    <mergeCell ref="C11:C13"/>
    <mergeCell ref="J11:J13"/>
    <mergeCell ref="Q11:Q13"/>
    <mergeCell ref="J30:J32"/>
    <mergeCell ref="Q30:Q32"/>
    <mergeCell ref="C30:C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A28B-EBD9-4E17-8A90-7870EB3AF944}">
  <dimension ref="A1:Z71"/>
  <sheetViews>
    <sheetView showGridLines="0" topLeftCell="G1" zoomScaleNormal="100" workbookViewId="0">
      <pane ySplit="5" topLeftCell="A6" activePane="bottomLeft" state="frozen"/>
      <selection activeCell="E10" sqref="E10"/>
      <selection pane="bottomLeft" activeCell="E10" sqref="E10"/>
    </sheetView>
  </sheetViews>
  <sheetFormatPr defaultRowHeight="14.4" x14ac:dyDescent="0.3"/>
  <cols>
    <col min="1" max="1" width="30.77734375" bestFit="1" customWidth="1"/>
    <col min="2" max="4" width="28.88671875" customWidth="1"/>
    <col min="5" max="5" width="28.88671875" hidden="1" customWidth="1"/>
    <col min="6" max="9" width="28.88671875" customWidth="1"/>
    <col min="10" max="10" width="28.88671875" hidden="1" customWidth="1"/>
    <col min="11" max="12" width="28.88671875" customWidth="1"/>
    <col min="13" max="13" width="27.44140625" customWidth="1"/>
    <col min="14" max="14" width="27.44140625" hidden="1" customWidth="1"/>
    <col min="15" max="16" width="27.44140625" customWidth="1"/>
    <col min="17" max="17" width="27.44140625" hidden="1" customWidth="1"/>
    <col min="18" max="18" width="27.44140625" customWidth="1"/>
    <col min="19" max="20" width="28.88671875" hidden="1" customWidth="1"/>
    <col min="21" max="25" width="27.44140625" hidden="1" customWidth="1"/>
    <col min="26" max="26" width="27.44140625" customWidth="1"/>
  </cols>
  <sheetData>
    <row r="1" spans="1:26" x14ac:dyDescent="0.3">
      <c r="B1" s="4" t="s">
        <v>76</v>
      </c>
      <c r="C1" s="4" t="s">
        <v>77</v>
      </c>
      <c r="D1" s="4" t="s">
        <v>78</v>
      </c>
      <c r="E1" s="4" t="s">
        <v>79</v>
      </c>
      <c r="F1" s="4" t="s">
        <v>79</v>
      </c>
      <c r="G1" s="4" t="s">
        <v>80</v>
      </c>
      <c r="H1" s="4" t="s">
        <v>81</v>
      </c>
      <c r="I1" s="4" t="s">
        <v>96</v>
      </c>
      <c r="J1" s="4"/>
      <c r="K1" s="4" t="s">
        <v>97</v>
      </c>
      <c r="L1" s="4" t="s">
        <v>98</v>
      </c>
      <c r="M1" s="4" t="s">
        <v>105</v>
      </c>
      <c r="N1" s="4"/>
      <c r="O1" s="4" t="s">
        <v>106</v>
      </c>
      <c r="P1" s="4" t="s">
        <v>109</v>
      </c>
      <c r="Q1" s="4"/>
      <c r="R1" s="4">
        <v>1231</v>
      </c>
      <c r="S1" s="4" t="s">
        <v>110</v>
      </c>
      <c r="T1" s="4" t="s">
        <v>98</v>
      </c>
      <c r="U1" s="4" t="s">
        <v>105</v>
      </c>
      <c r="V1" s="4"/>
      <c r="W1" s="4" t="s">
        <v>109</v>
      </c>
      <c r="X1" s="4"/>
      <c r="Y1" s="4"/>
      <c r="Z1" s="4" t="s">
        <v>112</v>
      </c>
    </row>
    <row r="2" spans="1:26" x14ac:dyDescent="0.3">
      <c r="A2" s="6" t="s">
        <v>91</v>
      </c>
      <c r="B2" s="2" t="s">
        <v>88</v>
      </c>
      <c r="C2" s="2" t="s">
        <v>90</v>
      </c>
      <c r="D2" s="2" t="s">
        <v>92</v>
      </c>
      <c r="E2" s="2" t="s">
        <v>95</v>
      </c>
      <c r="F2" s="2" t="s">
        <v>28</v>
      </c>
      <c r="G2" s="2" t="s">
        <v>29</v>
      </c>
      <c r="H2" s="2" t="s">
        <v>30</v>
      </c>
      <c r="I2" s="2" t="s">
        <v>32</v>
      </c>
      <c r="J2" s="2"/>
      <c r="K2" s="2" t="s">
        <v>99</v>
      </c>
      <c r="L2" s="2"/>
      <c r="R2" s="1" t="s">
        <v>117</v>
      </c>
      <c r="S2" s="2" t="s">
        <v>32</v>
      </c>
      <c r="T2" s="2"/>
      <c r="Y2" t="s">
        <v>117</v>
      </c>
      <c r="Z2" s="1" t="s">
        <v>118</v>
      </c>
    </row>
    <row r="3" spans="1:26" x14ac:dyDescent="0.3">
      <c r="A3" s="6" t="s">
        <v>89</v>
      </c>
      <c r="B3" s="5" t="s">
        <v>85</v>
      </c>
      <c r="C3" s="5" t="s">
        <v>86</v>
      </c>
      <c r="D3" s="5" t="s">
        <v>82</v>
      </c>
      <c r="E3" s="5" t="s">
        <v>82</v>
      </c>
      <c r="F3" s="5" t="s">
        <v>82</v>
      </c>
      <c r="G3" s="5" t="s">
        <v>83</v>
      </c>
      <c r="H3" s="5" t="s">
        <v>84</v>
      </c>
      <c r="I3" s="7" t="s">
        <v>102</v>
      </c>
      <c r="J3" s="7"/>
      <c r="K3" s="5" t="s">
        <v>100</v>
      </c>
      <c r="L3" s="7" t="s">
        <v>104</v>
      </c>
      <c r="P3" s="7" t="s">
        <v>101</v>
      </c>
      <c r="Q3" s="7"/>
      <c r="R3" s="10">
        <f>IF(P3&lt;&gt;"",800+P5,"")</f>
        <v>1000</v>
      </c>
      <c r="S3" s="7" t="s">
        <v>102</v>
      </c>
      <c r="T3" s="7" t="s">
        <v>104</v>
      </c>
      <c r="W3" s="7" t="s">
        <v>101</v>
      </c>
      <c r="X3" s="7"/>
      <c r="Y3" s="10">
        <f>800+W5</f>
        <v>950</v>
      </c>
      <c r="Z3" s="10">
        <f>IF(P3&lt;&gt;"",R3-M5,"")</f>
        <v>773</v>
      </c>
    </row>
    <row r="4" spans="1:26" ht="72" x14ac:dyDescent="0.3">
      <c r="B4" s="3" t="s">
        <v>116</v>
      </c>
      <c r="C4" s="11" t="s">
        <v>75</v>
      </c>
      <c r="D4" s="11" t="s">
        <v>75</v>
      </c>
      <c r="E4" s="11" t="s">
        <v>93</v>
      </c>
      <c r="F4" s="11" t="s">
        <v>25</v>
      </c>
      <c r="G4" s="11" t="s">
        <v>26</v>
      </c>
      <c r="H4" s="11" t="s">
        <v>27</v>
      </c>
      <c r="I4" s="11" t="s">
        <v>31</v>
      </c>
      <c r="J4" s="11"/>
      <c r="K4" s="12" t="s">
        <v>119</v>
      </c>
      <c r="L4" s="11" t="s">
        <v>103</v>
      </c>
      <c r="M4" s="11" t="s">
        <v>107</v>
      </c>
      <c r="N4" s="11"/>
      <c r="O4" s="11" t="s">
        <v>108</v>
      </c>
      <c r="P4" s="11" t="s">
        <v>111</v>
      </c>
      <c r="Q4" s="11"/>
      <c r="R4" s="11" t="s">
        <v>115</v>
      </c>
      <c r="S4" s="11" t="s">
        <v>31</v>
      </c>
      <c r="T4" s="11" t="s">
        <v>103</v>
      </c>
      <c r="U4" s="11" t="s">
        <v>107</v>
      </c>
      <c r="V4" s="11"/>
      <c r="W4" s="11" t="s">
        <v>111</v>
      </c>
      <c r="X4" s="11"/>
      <c r="Y4" s="11" t="s">
        <v>115</v>
      </c>
      <c r="Z4" s="3"/>
    </row>
    <row r="5" spans="1:26" x14ac:dyDescent="0.3">
      <c r="A5" t="s">
        <v>114</v>
      </c>
      <c r="B5" s="10"/>
      <c r="C5" s="10"/>
      <c r="D5" s="10"/>
      <c r="E5" s="10"/>
      <c r="F5" s="10"/>
      <c r="G5" s="10"/>
      <c r="H5" s="10"/>
      <c r="I5" s="10">
        <f>SUM(J6:J70)</f>
        <v>227</v>
      </c>
      <c r="J5" s="10"/>
      <c r="K5" s="8"/>
      <c r="L5" s="10"/>
      <c r="M5" s="10">
        <f>SUMIF(M6:M70,"Subject/Fixed",N6:N70)</f>
        <v>227</v>
      </c>
      <c r="N5" s="10"/>
      <c r="O5" s="10"/>
      <c r="P5" s="10">
        <f>SUMIF(R6:R70,"Yes",Q6:Q70)</f>
        <v>200</v>
      </c>
      <c r="Q5" s="10"/>
      <c r="R5" s="10"/>
      <c r="S5" s="10"/>
      <c r="T5" s="10"/>
      <c r="U5" s="10">
        <f>SUMIF(U6:U70,"Subject/Fixed",V6:V70)</f>
        <v>227</v>
      </c>
      <c r="V5" s="10"/>
      <c r="W5" s="10">
        <f>SUMIF(Y6:Y70,"Yes",X6:X70)</f>
        <v>150</v>
      </c>
      <c r="X5" s="10"/>
      <c r="Y5" s="10"/>
      <c r="Z5" s="3"/>
    </row>
    <row r="6" spans="1:26" x14ac:dyDescent="0.3">
      <c r="B6" s="1" t="s">
        <v>34</v>
      </c>
      <c r="C6" s="54" t="s">
        <v>94</v>
      </c>
      <c r="D6" s="1"/>
      <c r="E6" s="1"/>
      <c r="F6" s="1" t="s">
        <v>34</v>
      </c>
      <c r="G6" s="3"/>
      <c r="H6" s="1"/>
      <c r="I6" s="1" t="str">
        <f>IF($I$3="","",IF($I$3="LT_MRG",IF($H6="","",IF($G6="",$H6,"")),IF($H6="","",IF($F6="",$H6,""))))</f>
        <v/>
      </c>
      <c r="J6" s="1">
        <f>IFERROR(VLOOKUP(I6,'Dummy Amount'!$A$2:$B$66,2,FALSE),0)</f>
        <v>0</v>
      </c>
      <c r="K6" s="9" t="s">
        <v>9</v>
      </c>
      <c r="L6" s="1" t="str">
        <f>IF($L$3="Y",IF($I6="",IF($K6&lt;&gt;"",$K6,""),$I6),"")</f>
        <v>AGS</v>
      </c>
      <c r="M6" s="1" t="str">
        <f t="shared" ref="M6:M37" si="0">IF(L6="","",IF(I6&lt;&gt;"","Subject/Fixed","Inclusive"))</f>
        <v>Inclusive</v>
      </c>
      <c r="N6" s="1">
        <f>IFERROR(VLOOKUP(L6,'Dummy Amount'!A2:B66,2,FALSE),0)</f>
        <v>0</v>
      </c>
      <c r="O6" s="1" t="str">
        <f t="shared" ref="O6:O37" si="1">IF(L6="","",IF(I6="","No",IF(K6="","Yes","No")))</f>
        <v>No</v>
      </c>
      <c r="P6" s="1" t="str">
        <f t="shared" ref="P6:P37" si="2">IF($P$3="","",IF($P$3="LT_MRG",IF($H6="","",IF($G6="",$H6,"")),IF($H6="","",IF($F6="",$H6,""))))</f>
        <v/>
      </c>
      <c r="Q6" s="1">
        <f>IFERROR(VLOOKUP(P6,'Dummy Amount'!$A$2:$B$66,2,FALSE),0)</f>
        <v>0</v>
      </c>
      <c r="R6" s="1" t="str">
        <f>IF(P6="","",IF(L6="","No","Yes"))</f>
        <v/>
      </c>
      <c r="S6" s="1" t="str">
        <f t="shared" ref="S6:Y6" si="3">IF(Q6="","",IF(M6="","No","Yes"))</f>
        <v>Yes</v>
      </c>
      <c r="T6" s="1" t="str">
        <f t="shared" si="3"/>
        <v/>
      </c>
      <c r="U6" s="1" t="str">
        <f t="shared" si="3"/>
        <v>Yes</v>
      </c>
      <c r="V6" s="1" t="str">
        <f t="shared" si="3"/>
        <v/>
      </c>
      <c r="W6" s="1" t="str">
        <f t="shared" si="3"/>
        <v>Yes</v>
      </c>
      <c r="X6" s="1" t="str">
        <f t="shared" si="3"/>
        <v/>
      </c>
      <c r="Y6" s="1" t="str">
        <f t="shared" si="3"/>
        <v>Yes</v>
      </c>
      <c r="Z6" s="1"/>
    </row>
    <row r="7" spans="1:26" x14ac:dyDescent="0.3">
      <c r="B7" s="1" t="s">
        <v>35</v>
      </c>
      <c r="C7" s="54"/>
      <c r="D7" s="1"/>
      <c r="E7" s="1"/>
      <c r="F7" s="1" t="s">
        <v>35</v>
      </c>
      <c r="G7" s="3"/>
      <c r="H7" s="1"/>
      <c r="I7" s="1" t="str">
        <f t="shared" ref="I7:I70" si="4">IF($I$3="","",IF($I$3="LT_MRG",IF($H7="","",IF($G7="",$H7,"")),IF($H7="","",IF($F7="",$H7,""))))</f>
        <v/>
      </c>
      <c r="J7" s="1">
        <f>IFERROR(VLOOKUP(I7,'Dummy Amount'!$A$2:$B$66,2,FALSE),0)</f>
        <v>0</v>
      </c>
      <c r="K7" s="9"/>
      <c r="L7" s="1" t="str">
        <f t="shared" ref="L7:L70" si="5">IF($L$3="Y",IF($I7="",IF($K7&lt;&gt;"",$K7,""),$I7),"")</f>
        <v/>
      </c>
      <c r="M7" s="1" t="str">
        <f t="shared" si="0"/>
        <v/>
      </c>
      <c r="N7" s="1">
        <f>IFERROR(VLOOKUP(L7,'Dummy Amount'!A3:B67,2,FALSE),0)</f>
        <v>0</v>
      </c>
      <c r="O7" s="1" t="str">
        <f t="shared" si="1"/>
        <v/>
      </c>
      <c r="P7" s="1" t="str">
        <f t="shared" si="2"/>
        <v/>
      </c>
      <c r="Q7" s="1">
        <f>IFERROR(VLOOKUP(P7,'Dummy Amount'!$A$2:$B$66,2,FALSE),0)</f>
        <v>0</v>
      </c>
      <c r="R7" s="1" t="str">
        <f t="shared" ref="R7:R70" si="6">IF(P7="","",IF(L7="","No","Yes"))</f>
        <v/>
      </c>
      <c r="S7" s="1" t="str">
        <f t="shared" ref="S7:S38" si="7">IF($S$3="","",IF($S$3="LT_MRG",IF($H7="","",IF($G7="",$H7,"")),IF($H7="","",IF($F7="",$H7,""))))</f>
        <v/>
      </c>
      <c r="T7" s="1" t="str">
        <f t="shared" ref="T7:T38" si="8">IF($T$3="Y",IF($S7="",IF($L7&lt;&gt;"",$L7,""),$S7),"")</f>
        <v/>
      </c>
      <c r="U7" s="1" t="str">
        <f t="shared" ref="U7:U70" si="9">IF(T7="","",IF(S7&lt;&gt;"","Subject/Fixed","Inclusive"))</f>
        <v/>
      </c>
      <c r="V7" s="1">
        <f>IFERROR(VLOOKUP(T7,'Dummy Amount'!$A$2:$B$66,2,FALSE),0)</f>
        <v>0</v>
      </c>
      <c r="W7" s="1" t="str">
        <f t="shared" ref="W7:W70" si="10">IF($W$3="","",IF($P$3="LT_MRG",IF($H7="","",IF($G7="",$H7,"")),IF($H7="","",IF($F7="",$H7,""))))</f>
        <v/>
      </c>
      <c r="X7" s="1">
        <f>IFERROR(VLOOKUP(W7,'Dummy Amount'!$A$2:$B$66,2,FALSE),0)</f>
        <v>0</v>
      </c>
      <c r="Y7" s="1" t="str">
        <f t="shared" ref="Y7:Y69" si="11">IF(W7="","",IF(T7="","No",IF(U7="Inclusive","No","Yes")))</f>
        <v/>
      </c>
      <c r="Z7" s="1"/>
    </row>
    <row r="8" spans="1:26" x14ac:dyDescent="0.3">
      <c r="B8" s="1" t="s">
        <v>36</v>
      </c>
      <c r="C8" s="54"/>
      <c r="D8" s="1"/>
      <c r="E8" s="1"/>
      <c r="F8" s="1" t="s">
        <v>36</v>
      </c>
      <c r="G8" s="3"/>
      <c r="H8" s="1"/>
      <c r="I8" s="1" t="str">
        <f t="shared" si="4"/>
        <v/>
      </c>
      <c r="J8" s="1">
        <f>IFERROR(VLOOKUP(I8,'Dummy Amount'!$A$2:$B$66,2,FALSE),0)</f>
        <v>0</v>
      </c>
      <c r="K8" s="9"/>
      <c r="L8" s="1" t="str">
        <f t="shared" si="5"/>
        <v/>
      </c>
      <c r="M8" s="1" t="str">
        <f t="shared" si="0"/>
        <v/>
      </c>
      <c r="N8" s="1">
        <f>IFERROR(VLOOKUP(L8,'Dummy Amount'!A4:B68,2,FALSE),0)</f>
        <v>0</v>
      </c>
      <c r="O8" s="1" t="str">
        <f t="shared" si="1"/>
        <v/>
      </c>
      <c r="P8" s="1" t="str">
        <f t="shared" si="2"/>
        <v/>
      </c>
      <c r="Q8" s="1">
        <f>IFERROR(VLOOKUP(P8,'Dummy Amount'!$A$2:$B$66,2,FALSE),0)</f>
        <v>0</v>
      </c>
      <c r="R8" s="1" t="str">
        <f t="shared" si="6"/>
        <v/>
      </c>
      <c r="S8" s="1" t="str">
        <f t="shared" si="7"/>
        <v/>
      </c>
      <c r="T8" s="1" t="str">
        <f t="shared" si="8"/>
        <v/>
      </c>
      <c r="U8" s="1" t="str">
        <f t="shared" si="9"/>
        <v/>
      </c>
      <c r="V8" s="1">
        <f>IFERROR(VLOOKUP(T8,'Dummy Amount'!$A$2:$B$66,2,FALSE),0)</f>
        <v>0</v>
      </c>
      <c r="W8" s="1" t="str">
        <f t="shared" si="10"/>
        <v/>
      </c>
      <c r="X8" s="1">
        <f>IFERROR(VLOOKUP(W8,'Dummy Amount'!$A$2:$B$66,2,FALSE),0)</f>
        <v>0</v>
      </c>
      <c r="Y8" s="1" t="str">
        <f t="shared" si="11"/>
        <v/>
      </c>
      <c r="Z8" s="1"/>
    </row>
    <row r="9" spans="1:26" x14ac:dyDescent="0.3">
      <c r="B9" s="1" t="s">
        <v>19</v>
      </c>
      <c r="C9" s="54"/>
      <c r="D9" s="1" t="s">
        <v>19</v>
      </c>
      <c r="E9" s="1"/>
      <c r="F9" s="1"/>
      <c r="G9" s="3"/>
      <c r="H9" s="1"/>
      <c r="I9" s="1" t="str">
        <f t="shared" si="4"/>
        <v/>
      </c>
      <c r="J9" s="1">
        <f>IFERROR(VLOOKUP(I9,'Dummy Amount'!$A$2:$B$66,2,FALSE),0)</f>
        <v>0</v>
      </c>
      <c r="K9" s="9" t="s">
        <v>19</v>
      </c>
      <c r="L9" s="1" t="str">
        <f t="shared" si="5"/>
        <v>AMS</v>
      </c>
      <c r="M9" s="1" t="str">
        <f t="shared" si="0"/>
        <v>Inclusive</v>
      </c>
      <c r="N9" s="1">
        <f>IFERROR(VLOOKUP(L9,'Dummy Amount'!A5:B69,2,FALSE),0)</f>
        <v>50</v>
      </c>
      <c r="O9" s="1" t="str">
        <f t="shared" si="1"/>
        <v>No</v>
      </c>
      <c r="P9" s="1" t="str">
        <f t="shared" si="2"/>
        <v/>
      </c>
      <c r="Q9" s="1">
        <f>IFERROR(VLOOKUP(P9,'Dummy Amount'!$A$2:$B$66,2,FALSE),0)</f>
        <v>0</v>
      </c>
      <c r="R9" s="1" t="str">
        <f t="shared" si="6"/>
        <v/>
      </c>
      <c r="S9" s="1" t="str">
        <f t="shared" si="7"/>
        <v/>
      </c>
      <c r="T9" s="1" t="str">
        <f t="shared" si="8"/>
        <v>AMS</v>
      </c>
      <c r="U9" s="1" t="str">
        <f t="shared" si="9"/>
        <v>Inclusive</v>
      </c>
      <c r="V9" s="1">
        <f>IFERROR(VLOOKUP(T9,'Dummy Amount'!$A$2:$B$66,2,FALSE),0)</f>
        <v>50</v>
      </c>
      <c r="W9" s="1" t="str">
        <f t="shared" si="10"/>
        <v/>
      </c>
      <c r="X9" s="1">
        <f>IFERROR(VLOOKUP(W9,'Dummy Amount'!$A$2:$B$66,2,FALSE),0)</f>
        <v>0</v>
      </c>
      <c r="Y9" s="1" t="str">
        <f t="shared" si="11"/>
        <v/>
      </c>
      <c r="Z9" s="1"/>
    </row>
    <row r="10" spans="1:26" x14ac:dyDescent="0.3">
      <c r="B10" s="1" t="s">
        <v>37</v>
      </c>
      <c r="C10" s="54"/>
      <c r="D10" s="1"/>
      <c r="E10" s="1"/>
      <c r="F10" s="1" t="s">
        <v>37</v>
      </c>
      <c r="G10" s="1"/>
      <c r="H10" s="1"/>
      <c r="I10" s="1" t="str">
        <f t="shared" si="4"/>
        <v/>
      </c>
      <c r="J10" s="1">
        <f>IFERROR(VLOOKUP(I10,'Dummy Amount'!$A$2:$B$66,2,FALSE),0)</f>
        <v>0</v>
      </c>
      <c r="K10" s="9"/>
      <c r="L10" s="1" t="str">
        <f t="shared" si="5"/>
        <v/>
      </c>
      <c r="M10" s="1" t="str">
        <f t="shared" si="0"/>
        <v/>
      </c>
      <c r="N10" s="1">
        <f>IFERROR(VLOOKUP(L10,'Dummy Amount'!A6:B70,2,FALSE),0)</f>
        <v>0</v>
      </c>
      <c r="O10" s="1" t="str">
        <f t="shared" si="1"/>
        <v/>
      </c>
      <c r="P10" s="1" t="str">
        <f t="shared" si="2"/>
        <v/>
      </c>
      <c r="Q10" s="1">
        <f>IFERROR(VLOOKUP(P10,'Dummy Amount'!$A$2:$B$66,2,FALSE),0)</f>
        <v>0</v>
      </c>
      <c r="R10" s="1" t="str">
        <f t="shared" si="6"/>
        <v/>
      </c>
      <c r="S10" s="1" t="str">
        <f t="shared" si="7"/>
        <v/>
      </c>
      <c r="T10" s="1" t="str">
        <f t="shared" si="8"/>
        <v/>
      </c>
      <c r="U10" s="1" t="str">
        <f t="shared" si="9"/>
        <v/>
      </c>
      <c r="V10" s="1">
        <f>IFERROR(VLOOKUP(T10,'Dummy Amount'!$A$2:$B$66,2,FALSE),0)</f>
        <v>0</v>
      </c>
      <c r="W10" s="1" t="str">
        <f t="shared" si="10"/>
        <v/>
      </c>
      <c r="X10" s="1">
        <f>IFERROR(VLOOKUP(W10,'Dummy Amount'!$A$2:$B$66,2,FALSE),0)</f>
        <v>0</v>
      </c>
      <c r="Y10" s="1" t="str">
        <f t="shared" si="11"/>
        <v/>
      </c>
      <c r="Z10" s="1"/>
    </row>
    <row r="11" spans="1:26" x14ac:dyDescent="0.3">
      <c r="B11" s="1" t="s">
        <v>38</v>
      </c>
      <c r="C11" s="54"/>
      <c r="D11" s="1"/>
      <c r="E11" s="1"/>
      <c r="F11" s="1" t="s">
        <v>38</v>
      </c>
      <c r="G11" s="1" t="s">
        <v>38</v>
      </c>
      <c r="H11" s="1"/>
      <c r="I11" s="1" t="str">
        <f t="shared" si="4"/>
        <v/>
      </c>
      <c r="J11" s="1">
        <f>IFERROR(VLOOKUP(I11,'Dummy Amount'!$A$2:$B$66,2,FALSE),0)</f>
        <v>0</v>
      </c>
      <c r="K11" s="9"/>
      <c r="L11" s="1" t="str">
        <f t="shared" si="5"/>
        <v/>
      </c>
      <c r="M11" s="1" t="str">
        <f t="shared" si="0"/>
        <v/>
      </c>
      <c r="N11" s="1">
        <f>IFERROR(VLOOKUP(L11,'Dummy Amount'!A7:B71,2,FALSE),0)</f>
        <v>0</v>
      </c>
      <c r="O11" s="1" t="str">
        <f t="shared" si="1"/>
        <v/>
      </c>
      <c r="P11" s="1" t="str">
        <f t="shared" si="2"/>
        <v/>
      </c>
      <c r="Q11" s="1">
        <f>IFERROR(VLOOKUP(P11,'Dummy Amount'!$A$2:$B$66,2,FALSE),0)</f>
        <v>0</v>
      </c>
      <c r="R11" s="1" t="str">
        <f t="shared" si="6"/>
        <v/>
      </c>
      <c r="S11" s="1" t="str">
        <f t="shared" si="7"/>
        <v/>
      </c>
      <c r="T11" s="1" t="str">
        <f t="shared" si="8"/>
        <v/>
      </c>
      <c r="U11" s="1" t="str">
        <f t="shared" si="9"/>
        <v/>
      </c>
      <c r="V11" s="1">
        <f>IFERROR(VLOOKUP(T11,'Dummy Amount'!$A$2:$B$66,2,FALSE),0)</f>
        <v>0</v>
      </c>
      <c r="W11" s="1" t="str">
        <f t="shared" si="10"/>
        <v/>
      </c>
      <c r="X11" s="1">
        <f>IFERROR(VLOOKUP(W11,'Dummy Amount'!$A$2:$B$66,2,FALSE),0)</f>
        <v>0</v>
      </c>
      <c r="Y11" s="1" t="str">
        <f t="shared" si="11"/>
        <v/>
      </c>
      <c r="Z11" s="1"/>
    </row>
    <row r="12" spans="1:26" x14ac:dyDescent="0.3">
      <c r="B12" s="1" t="s">
        <v>39</v>
      </c>
      <c r="C12" s="54"/>
      <c r="D12" s="1"/>
      <c r="E12" s="1"/>
      <c r="F12" s="1" t="s">
        <v>39</v>
      </c>
      <c r="G12" s="1"/>
      <c r="H12" s="1"/>
      <c r="I12" s="1" t="str">
        <f t="shared" si="4"/>
        <v/>
      </c>
      <c r="J12" s="1">
        <f>IFERROR(VLOOKUP(I12,'Dummy Amount'!$A$2:$B$66,2,FALSE),0)</f>
        <v>0</v>
      </c>
      <c r="K12" s="9"/>
      <c r="L12" s="1" t="str">
        <f t="shared" si="5"/>
        <v/>
      </c>
      <c r="M12" s="1" t="str">
        <f t="shared" si="0"/>
        <v/>
      </c>
      <c r="N12" s="1">
        <f>IFERROR(VLOOKUP(L12,'Dummy Amount'!A8:B72,2,FALSE),0)</f>
        <v>0</v>
      </c>
      <c r="O12" s="1" t="str">
        <f t="shared" si="1"/>
        <v/>
      </c>
      <c r="P12" s="1" t="str">
        <f t="shared" si="2"/>
        <v/>
      </c>
      <c r="Q12" s="1">
        <f>IFERROR(VLOOKUP(P12,'Dummy Amount'!$A$2:$B$66,2,FALSE),0)</f>
        <v>0</v>
      </c>
      <c r="R12" s="1" t="str">
        <f t="shared" si="6"/>
        <v/>
      </c>
      <c r="S12" s="1" t="str">
        <f t="shared" si="7"/>
        <v/>
      </c>
      <c r="T12" s="1" t="str">
        <f t="shared" si="8"/>
        <v/>
      </c>
      <c r="U12" s="1" t="str">
        <f t="shared" si="9"/>
        <v/>
      </c>
      <c r="V12" s="1">
        <f>IFERROR(VLOOKUP(T12,'Dummy Amount'!$A$2:$B$66,2,FALSE),0)</f>
        <v>0</v>
      </c>
      <c r="W12" s="1" t="str">
        <f t="shared" si="10"/>
        <v/>
      </c>
      <c r="X12" s="1">
        <f>IFERROR(VLOOKUP(W12,'Dummy Amount'!$A$2:$B$66,2,FALSE),0)</f>
        <v>0</v>
      </c>
      <c r="Y12" s="1" t="str">
        <f t="shared" si="11"/>
        <v/>
      </c>
      <c r="Z12" s="1"/>
    </row>
    <row r="13" spans="1:26" x14ac:dyDescent="0.3">
      <c r="B13" s="1" t="s">
        <v>40</v>
      </c>
      <c r="C13" s="54"/>
      <c r="D13" s="1"/>
      <c r="E13" s="1"/>
      <c r="F13" s="1" t="s">
        <v>40</v>
      </c>
      <c r="G13" s="1"/>
      <c r="H13" s="1"/>
      <c r="I13" s="1" t="str">
        <f t="shared" si="4"/>
        <v/>
      </c>
      <c r="J13" s="1">
        <f>IFERROR(VLOOKUP(I13,'Dummy Amount'!$A$2:$B$66,2,FALSE),0)</f>
        <v>0</v>
      </c>
      <c r="K13" s="9"/>
      <c r="L13" s="1" t="str">
        <f t="shared" si="5"/>
        <v/>
      </c>
      <c r="M13" s="1" t="str">
        <f t="shared" si="0"/>
        <v/>
      </c>
      <c r="N13" s="1">
        <f>IFERROR(VLOOKUP(L13,'Dummy Amount'!A9:B73,2,FALSE),0)</f>
        <v>0</v>
      </c>
      <c r="O13" s="1" t="str">
        <f t="shared" si="1"/>
        <v/>
      </c>
      <c r="P13" s="1" t="str">
        <f t="shared" si="2"/>
        <v/>
      </c>
      <c r="Q13" s="1">
        <f>IFERROR(VLOOKUP(P13,'Dummy Amount'!$A$2:$B$66,2,FALSE),0)</f>
        <v>0</v>
      </c>
      <c r="R13" s="1" t="str">
        <f t="shared" si="6"/>
        <v/>
      </c>
      <c r="S13" s="1" t="str">
        <f t="shared" si="7"/>
        <v/>
      </c>
      <c r="T13" s="1" t="str">
        <f t="shared" si="8"/>
        <v/>
      </c>
      <c r="U13" s="1" t="str">
        <f t="shared" si="9"/>
        <v/>
      </c>
      <c r="V13" s="1">
        <f>IFERROR(VLOOKUP(T13,'Dummy Amount'!$A$2:$B$66,2,FALSE),0)</f>
        <v>0</v>
      </c>
      <c r="W13" s="1" t="str">
        <f t="shared" si="10"/>
        <v/>
      </c>
      <c r="X13" s="1">
        <f>IFERROR(VLOOKUP(W13,'Dummy Amount'!$A$2:$B$66,2,FALSE),0)</f>
        <v>0</v>
      </c>
      <c r="Y13" s="1" t="str">
        <f t="shared" si="11"/>
        <v/>
      </c>
      <c r="Z13" s="1"/>
    </row>
    <row r="14" spans="1:26" x14ac:dyDescent="0.3">
      <c r="B14" s="1" t="s">
        <v>41</v>
      </c>
      <c r="C14" s="54"/>
      <c r="D14" s="1"/>
      <c r="E14" s="1"/>
      <c r="F14" s="1" t="s">
        <v>41</v>
      </c>
      <c r="G14" s="1"/>
      <c r="H14" s="1"/>
      <c r="I14" s="1" t="str">
        <f t="shared" si="4"/>
        <v/>
      </c>
      <c r="J14" s="1">
        <f>IFERROR(VLOOKUP(I14,'Dummy Amount'!$A$2:$B$66,2,FALSE),0)</f>
        <v>0</v>
      </c>
      <c r="K14" s="9"/>
      <c r="L14" s="1" t="str">
        <f t="shared" si="5"/>
        <v/>
      </c>
      <c r="M14" s="1" t="str">
        <f t="shared" si="0"/>
        <v/>
      </c>
      <c r="N14" s="1">
        <f>IFERROR(VLOOKUP(L14,'Dummy Amount'!A10:B74,2,FALSE),0)</f>
        <v>0</v>
      </c>
      <c r="O14" s="1" t="str">
        <f t="shared" si="1"/>
        <v/>
      </c>
      <c r="P14" s="1" t="str">
        <f t="shared" si="2"/>
        <v/>
      </c>
      <c r="Q14" s="1">
        <f>IFERROR(VLOOKUP(P14,'Dummy Amount'!$A$2:$B$66,2,FALSE),0)</f>
        <v>0</v>
      </c>
      <c r="R14" s="1" t="str">
        <f t="shared" si="6"/>
        <v/>
      </c>
      <c r="S14" s="1" t="str">
        <f t="shared" si="7"/>
        <v/>
      </c>
      <c r="T14" s="1" t="str">
        <f t="shared" si="8"/>
        <v/>
      </c>
      <c r="U14" s="1" t="str">
        <f t="shared" si="9"/>
        <v/>
      </c>
      <c r="V14" s="1">
        <f>IFERROR(VLOOKUP(T14,'Dummy Amount'!$A$2:$B$66,2,FALSE),0)</f>
        <v>0</v>
      </c>
      <c r="W14" s="1" t="str">
        <f t="shared" si="10"/>
        <v/>
      </c>
      <c r="X14" s="1">
        <f>IFERROR(VLOOKUP(W14,'Dummy Amount'!$A$2:$B$66,2,FALSE),0)</f>
        <v>0</v>
      </c>
      <c r="Y14" s="1" t="str">
        <f t="shared" si="11"/>
        <v/>
      </c>
      <c r="Z14" s="1"/>
    </row>
    <row r="15" spans="1:26" x14ac:dyDescent="0.3">
      <c r="B15" s="1" t="s">
        <v>41</v>
      </c>
      <c r="C15" s="54"/>
      <c r="D15" s="1"/>
      <c r="E15" s="1"/>
      <c r="F15" s="1" t="s">
        <v>41</v>
      </c>
      <c r="G15" s="1"/>
      <c r="H15" s="1"/>
      <c r="I15" s="1" t="str">
        <f t="shared" si="4"/>
        <v/>
      </c>
      <c r="J15" s="1">
        <f>IFERROR(VLOOKUP(I15,'Dummy Amount'!$A$2:$B$66,2,FALSE),0)</f>
        <v>0</v>
      </c>
      <c r="K15" s="9"/>
      <c r="L15" s="1" t="str">
        <f t="shared" si="5"/>
        <v/>
      </c>
      <c r="M15" s="1" t="str">
        <f t="shared" si="0"/>
        <v/>
      </c>
      <c r="N15" s="1">
        <f>IFERROR(VLOOKUP(L15,'Dummy Amount'!A11:B75,2,FALSE),0)</f>
        <v>0</v>
      </c>
      <c r="O15" s="1" t="str">
        <f t="shared" si="1"/>
        <v/>
      </c>
      <c r="P15" s="1" t="str">
        <f t="shared" si="2"/>
        <v/>
      </c>
      <c r="Q15" s="1">
        <f>IFERROR(VLOOKUP(P15,'Dummy Amount'!$A$2:$B$66,2,FALSE),0)</f>
        <v>0</v>
      </c>
      <c r="R15" s="1" t="str">
        <f t="shared" si="6"/>
        <v/>
      </c>
      <c r="S15" s="1" t="str">
        <f t="shared" si="7"/>
        <v/>
      </c>
      <c r="T15" s="1" t="str">
        <f t="shared" si="8"/>
        <v/>
      </c>
      <c r="U15" s="1" t="str">
        <f t="shared" si="9"/>
        <v/>
      </c>
      <c r="V15" s="1">
        <f>IFERROR(VLOOKUP(T15,'Dummy Amount'!$A$2:$B$66,2,FALSE),0)</f>
        <v>0</v>
      </c>
      <c r="W15" s="1" t="str">
        <f t="shared" si="10"/>
        <v/>
      </c>
      <c r="X15" s="1">
        <f>IFERROR(VLOOKUP(W15,'Dummy Amount'!$A$2:$B$66,2,FALSE),0)</f>
        <v>0</v>
      </c>
      <c r="Y15" s="1" t="str">
        <f t="shared" si="11"/>
        <v/>
      </c>
      <c r="Z15" s="1"/>
    </row>
    <row r="16" spans="1:26" x14ac:dyDescent="0.3">
      <c r="B16" s="1" t="s">
        <v>42</v>
      </c>
      <c r="C16" s="54"/>
      <c r="D16" s="1"/>
      <c r="E16" s="1"/>
      <c r="F16" s="1" t="s">
        <v>42</v>
      </c>
      <c r="G16" s="1"/>
      <c r="H16" s="1"/>
      <c r="I16" s="1" t="str">
        <f t="shared" si="4"/>
        <v/>
      </c>
      <c r="J16" s="1">
        <f>IFERROR(VLOOKUP(I16,'Dummy Amount'!$A$2:$B$66,2,FALSE),0)</f>
        <v>0</v>
      </c>
      <c r="K16" s="9"/>
      <c r="L16" s="1" t="str">
        <f t="shared" si="5"/>
        <v/>
      </c>
      <c r="M16" s="1" t="str">
        <f t="shared" si="0"/>
        <v/>
      </c>
      <c r="N16" s="1">
        <f>IFERROR(VLOOKUP(L16,'Dummy Amount'!A12:B76,2,FALSE),0)</f>
        <v>0</v>
      </c>
      <c r="O16" s="1" t="str">
        <f t="shared" si="1"/>
        <v/>
      </c>
      <c r="P16" s="1" t="str">
        <f t="shared" si="2"/>
        <v/>
      </c>
      <c r="Q16" s="1">
        <f>IFERROR(VLOOKUP(P16,'Dummy Amount'!$A$2:$B$66,2,FALSE),0)</f>
        <v>0</v>
      </c>
      <c r="R16" s="1" t="str">
        <f t="shared" si="6"/>
        <v/>
      </c>
      <c r="S16" s="1" t="str">
        <f t="shared" si="7"/>
        <v/>
      </c>
      <c r="T16" s="1" t="str">
        <f t="shared" si="8"/>
        <v/>
      </c>
      <c r="U16" s="1" t="str">
        <f t="shared" si="9"/>
        <v/>
      </c>
      <c r="V16" s="1">
        <f>IFERROR(VLOOKUP(T16,'Dummy Amount'!$A$2:$B$66,2,FALSE),0)</f>
        <v>0</v>
      </c>
      <c r="W16" s="1" t="str">
        <f t="shared" si="10"/>
        <v/>
      </c>
      <c r="X16" s="1">
        <f>IFERROR(VLOOKUP(W16,'Dummy Amount'!$A$2:$B$66,2,FALSE),0)</f>
        <v>0</v>
      </c>
      <c r="Y16" s="1" t="str">
        <f t="shared" si="11"/>
        <v/>
      </c>
      <c r="Z16" s="1"/>
    </row>
    <row r="17" spans="2:26" x14ac:dyDescent="0.3">
      <c r="B17" s="1" t="s">
        <v>43</v>
      </c>
      <c r="C17" s="54"/>
      <c r="D17" s="1"/>
      <c r="E17" s="1"/>
      <c r="F17" s="1" t="s">
        <v>43</v>
      </c>
      <c r="G17" s="1"/>
      <c r="H17" s="1"/>
      <c r="I17" s="1" t="str">
        <f t="shared" si="4"/>
        <v/>
      </c>
      <c r="J17" s="1">
        <f>IFERROR(VLOOKUP(I17,'Dummy Amount'!$A$2:$B$66,2,FALSE),0)</f>
        <v>0</v>
      </c>
      <c r="K17" s="9"/>
      <c r="L17" s="1" t="str">
        <f t="shared" si="5"/>
        <v/>
      </c>
      <c r="M17" s="1" t="str">
        <f t="shared" si="0"/>
        <v/>
      </c>
      <c r="N17" s="1">
        <f>IFERROR(VLOOKUP(L17,'Dummy Amount'!A13:B77,2,FALSE),0)</f>
        <v>0</v>
      </c>
      <c r="O17" s="1" t="str">
        <f t="shared" si="1"/>
        <v/>
      </c>
      <c r="P17" s="1" t="str">
        <f t="shared" si="2"/>
        <v/>
      </c>
      <c r="Q17" s="1">
        <f>IFERROR(VLOOKUP(P17,'Dummy Amount'!$A$2:$B$66,2,FALSE),0)</f>
        <v>0</v>
      </c>
      <c r="R17" s="1" t="str">
        <f t="shared" si="6"/>
        <v/>
      </c>
      <c r="S17" s="1" t="str">
        <f t="shared" si="7"/>
        <v/>
      </c>
      <c r="T17" s="1" t="str">
        <f t="shared" si="8"/>
        <v/>
      </c>
      <c r="U17" s="1" t="str">
        <f t="shared" si="9"/>
        <v/>
      </c>
      <c r="V17" s="1">
        <f>IFERROR(VLOOKUP(T17,'Dummy Amount'!$A$2:$B$66,2,FALSE),0)</f>
        <v>0</v>
      </c>
      <c r="W17" s="1" t="str">
        <f t="shared" si="10"/>
        <v/>
      </c>
      <c r="X17" s="1">
        <f>IFERROR(VLOOKUP(W17,'Dummy Amount'!$A$2:$B$66,2,FALSE),0)</f>
        <v>0</v>
      </c>
      <c r="Y17" s="1" t="str">
        <f t="shared" si="11"/>
        <v/>
      </c>
      <c r="Z17" s="1"/>
    </row>
    <row r="18" spans="2:26" x14ac:dyDescent="0.3">
      <c r="B18" s="1"/>
      <c r="C18" s="54"/>
      <c r="D18" s="1"/>
      <c r="E18" s="1"/>
      <c r="F18" s="1"/>
      <c r="G18" s="1"/>
      <c r="H18" s="1"/>
      <c r="I18" s="1" t="str">
        <f t="shared" si="4"/>
        <v/>
      </c>
      <c r="J18" s="1">
        <f>IFERROR(VLOOKUP(I18,'Dummy Amount'!$A$2:$B$66,2,FALSE),0)</f>
        <v>0</v>
      </c>
      <c r="K18" s="9" t="s">
        <v>16</v>
      </c>
      <c r="L18" s="1" t="str">
        <f t="shared" si="5"/>
        <v>CMD</v>
      </c>
      <c r="M18" s="1" t="str">
        <f t="shared" si="0"/>
        <v>Inclusive</v>
      </c>
      <c r="N18" s="1">
        <f>IFERROR(VLOOKUP(L18,'Dummy Amount'!A14:B78,2,FALSE),0)</f>
        <v>50</v>
      </c>
      <c r="O18" s="1" t="str">
        <f t="shared" si="1"/>
        <v>No</v>
      </c>
      <c r="P18" s="1" t="str">
        <f t="shared" si="2"/>
        <v/>
      </c>
      <c r="Q18" s="1">
        <f>IFERROR(VLOOKUP(P18,'Dummy Amount'!$A$2:$B$66,2,FALSE),0)</f>
        <v>0</v>
      </c>
      <c r="R18" s="1" t="str">
        <f t="shared" si="6"/>
        <v/>
      </c>
      <c r="S18" s="1" t="str">
        <f t="shared" si="7"/>
        <v/>
      </c>
      <c r="T18" s="1" t="str">
        <f t="shared" si="8"/>
        <v>CMD</v>
      </c>
      <c r="U18" s="1" t="str">
        <f t="shared" si="9"/>
        <v>Inclusive</v>
      </c>
      <c r="V18" s="1">
        <f>IFERROR(VLOOKUP(T18,'Dummy Amount'!$A$2:$B$66,2,FALSE),0)</f>
        <v>50</v>
      </c>
      <c r="W18" s="1" t="str">
        <f t="shared" si="10"/>
        <v/>
      </c>
      <c r="X18" s="1">
        <f>IFERROR(VLOOKUP(W18,'Dummy Amount'!$A$2:$B$66,2,FALSE),0)</f>
        <v>0</v>
      </c>
      <c r="Y18" s="1" t="str">
        <f t="shared" si="11"/>
        <v/>
      </c>
      <c r="Z18" s="1"/>
    </row>
    <row r="19" spans="2:26" x14ac:dyDescent="0.3">
      <c r="B19" s="1"/>
      <c r="C19" s="54"/>
      <c r="D19" s="1"/>
      <c r="E19" s="1"/>
      <c r="F19" s="1"/>
      <c r="G19" s="1"/>
      <c r="H19" s="1"/>
      <c r="I19" s="1" t="str">
        <f t="shared" si="4"/>
        <v/>
      </c>
      <c r="J19" s="1">
        <f>IFERROR(VLOOKUP(I19,'Dummy Amount'!$A$2:$B$66,2,FALSE),0)</f>
        <v>0</v>
      </c>
      <c r="K19" s="9" t="s">
        <v>15</v>
      </c>
      <c r="L19" s="1" t="str">
        <f t="shared" si="5"/>
        <v>CML</v>
      </c>
      <c r="M19" s="1" t="str">
        <f t="shared" si="0"/>
        <v>Inclusive</v>
      </c>
      <c r="N19" s="1">
        <f>IFERROR(VLOOKUP(L19,'Dummy Amount'!A15:B79,2,FALSE),0)</f>
        <v>50</v>
      </c>
      <c r="O19" s="1" t="str">
        <f t="shared" si="1"/>
        <v>No</v>
      </c>
      <c r="P19" s="1" t="str">
        <f t="shared" si="2"/>
        <v/>
      </c>
      <c r="Q19" s="1">
        <f>IFERROR(VLOOKUP(P19,'Dummy Amount'!$A$2:$B$66,2,FALSE),0)</f>
        <v>0</v>
      </c>
      <c r="R19" s="1" t="str">
        <f t="shared" si="6"/>
        <v/>
      </c>
      <c r="S19" s="1" t="str">
        <f t="shared" si="7"/>
        <v/>
      </c>
      <c r="T19" s="1" t="str">
        <f t="shared" si="8"/>
        <v>CML</v>
      </c>
      <c r="U19" s="1" t="str">
        <f t="shared" si="9"/>
        <v>Inclusive</v>
      </c>
      <c r="V19" s="1">
        <f>IFERROR(VLOOKUP(T19,'Dummy Amount'!$A$2:$B$66,2,FALSE),0)</f>
        <v>50</v>
      </c>
      <c r="W19" s="1" t="str">
        <f t="shared" si="10"/>
        <v/>
      </c>
      <c r="X19" s="1">
        <f>IFERROR(VLOOKUP(W19,'Dummy Amount'!$A$2:$B$66,2,FALSE),0)</f>
        <v>0</v>
      </c>
      <c r="Y19" s="1" t="str">
        <f t="shared" si="11"/>
        <v/>
      </c>
      <c r="Z19" s="1"/>
    </row>
    <row r="20" spans="2:26" x14ac:dyDescent="0.3">
      <c r="B20" s="1"/>
      <c r="C20" s="54"/>
      <c r="D20" s="1"/>
      <c r="E20" s="1"/>
      <c r="F20" s="1"/>
      <c r="G20" s="1"/>
      <c r="H20" s="1"/>
      <c r="I20" s="1" t="str">
        <f t="shared" si="4"/>
        <v/>
      </c>
      <c r="J20" s="1">
        <f>IFERROR(VLOOKUP(I20,'Dummy Amount'!$A$2:$B$66,2,FALSE),0)</f>
        <v>0</v>
      </c>
      <c r="K20" s="9" t="s">
        <v>18</v>
      </c>
      <c r="L20" s="1" t="str">
        <f t="shared" si="5"/>
        <v>CSC</v>
      </c>
      <c r="M20" s="1" t="str">
        <f t="shared" si="0"/>
        <v>Inclusive</v>
      </c>
      <c r="N20" s="1">
        <f>IFERROR(VLOOKUP(L20,'Dummy Amount'!A16:B80,2,FALSE),0)</f>
        <v>50</v>
      </c>
      <c r="O20" s="1" t="str">
        <f t="shared" si="1"/>
        <v>No</v>
      </c>
      <c r="P20" s="1" t="str">
        <f t="shared" si="2"/>
        <v/>
      </c>
      <c r="Q20" s="1">
        <f>IFERROR(VLOOKUP(P20,'Dummy Amount'!$A$2:$B$66,2,FALSE),0)</f>
        <v>0</v>
      </c>
      <c r="R20" s="1" t="str">
        <f t="shared" si="6"/>
        <v/>
      </c>
      <c r="S20" s="1" t="str">
        <f t="shared" si="7"/>
        <v/>
      </c>
      <c r="T20" s="1" t="str">
        <f t="shared" si="8"/>
        <v>CSC</v>
      </c>
      <c r="U20" s="1" t="str">
        <f t="shared" si="9"/>
        <v>Inclusive</v>
      </c>
      <c r="V20" s="1">
        <f>IFERROR(VLOOKUP(T20,'Dummy Amount'!$A$2:$B$66,2,FALSE),0)</f>
        <v>50</v>
      </c>
      <c r="W20" s="1" t="str">
        <f t="shared" si="10"/>
        <v/>
      </c>
      <c r="X20" s="1">
        <f>IFERROR(VLOOKUP(W20,'Dummy Amount'!$A$2:$B$66,2,FALSE),0)</f>
        <v>0</v>
      </c>
      <c r="Y20" s="1" t="str">
        <f t="shared" si="11"/>
        <v/>
      </c>
      <c r="Z20" s="1"/>
    </row>
    <row r="21" spans="2:26" x14ac:dyDescent="0.3">
      <c r="B21" s="1" t="s">
        <v>17</v>
      </c>
      <c r="C21" s="54"/>
      <c r="D21" s="1"/>
      <c r="E21" s="1"/>
      <c r="F21" s="1" t="s">
        <v>17</v>
      </c>
      <c r="G21" s="1"/>
      <c r="H21" s="1" t="s">
        <v>17</v>
      </c>
      <c r="I21" s="1" t="str">
        <f t="shared" si="4"/>
        <v/>
      </c>
      <c r="J21" s="1">
        <f>IFERROR(VLOOKUP(I21,'Dummy Amount'!$A$2:$B$66,2,FALSE),0)</f>
        <v>0</v>
      </c>
      <c r="K21" s="9" t="s">
        <v>17</v>
      </c>
      <c r="L21" s="1" t="str">
        <f t="shared" si="5"/>
        <v>CSS</v>
      </c>
      <c r="M21" s="1" t="str">
        <f t="shared" si="0"/>
        <v>Inclusive</v>
      </c>
      <c r="N21" s="1">
        <f>IFERROR(VLOOKUP(L21,'Dummy Amount'!A17:B81,2,FALSE),0)</f>
        <v>50</v>
      </c>
      <c r="O21" s="1" t="str">
        <f t="shared" si="1"/>
        <v>No</v>
      </c>
      <c r="P21" s="1" t="str">
        <f t="shared" si="2"/>
        <v>CSS</v>
      </c>
      <c r="Q21" s="1">
        <f>IFERROR(VLOOKUP(P21,'Dummy Amount'!$A$2:$B$66,2,FALSE),0)</f>
        <v>50</v>
      </c>
      <c r="R21" s="1" t="str">
        <f t="shared" si="6"/>
        <v>Yes</v>
      </c>
      <c r="S21" s="1" t="str">
        <f t="shared" si="7"/>
        <v/>
      </c>
      <c r="T21" s="1" t="str">
        <f t="shared" si="8"/>
        <v>CSS</v>
      </c>
      <c r="U21" s="1" t="str">
        <f t="shared" si="9"/>
        <v>Inclusive</v>
      </c>
      <c r="V21" s="1">
        <f>IFERROR(VLOOKUP(T21,'Dummy Amount'!$A$2:$B$66,2,FALSE),0)</f>
        <v>50</v>
      </c>
      <c r="W21" s="1" t="str">
        <f t="shared" si="10"/>
        <v>CSS</v>
      </c>
      <c r="X21" s="1">
        <f>IFERROR(VLOOKUP(W21,'Dummy Amount'!$A$2:$B$66,2,FALSE),0)</f>
        <v>50</v>
      </c>
      <c r="Y21" s="1" t="str">
        <f t="shared" si="11"/>
        <v>No</v>
      </c>
      <c r="Z21" s="1"/>
    </row>
    <row r="22" spans="2:26" x14ac:dyDescent="0.3">
      <c r="B22" s="1" t="s">
        <v>44</v>
      </c>
      <c r="C22" s="54"/>
      <c r="D22" s="1"/>
      <c r="E22" s="1"/>
      <c r="F22" s="1" t="s">
        <v>44</v>
      </c>
      <c r="G22" s="1"/>
      <c r="H22" s="1"/>
      <c r="I22" s="1" t="str">
        <f t="shared" si="4"/>
        <v/>
      </c>
      <c r="J22" s="1">
        <f>IFERROR(VLOOKUP(I22,'Dummy Amount'!$A$2:$B$66,2,FALSE),0)</f>
        <v>0</v>
      </c>
      <c r="K22" s="9"/>
      <c r="L22" s="1" t="str">
        <f t="shared" si="5"/>
        <v/>
      </c>
      <c r="M22" s="1" t="str">
        <f t="shared" si="0"/>
        <v/>
      </c>
      <c r="N22" s="1">
        <f>IFERROR(VLOOKUP(L22,'Dummy Amount'!A18:B82,2,FALSE),0)</f>
        <v>0</v>
      </c>
      <c r="O22" s="1" t="str">
        <f t="shared" si="1"/>
        <v/>
      </c>
      <c r="P22" s="1" t="str">
        <f t="shared" si="2"/>
        <v/>
      </c>
      <c r="Q22" s="1">
        <f>IFERROR(VLOOKUP(P22,'Dummy Amount'!$A$2:$B$66,2,FALSE),0)</f>
        <v>0</v>
      </c>
      <c r="R22" s="1" t="str">
        <f t="shared" si="6"/>
        <v/>
      </c>
      <c r="S22" s="1" t="str">
        <f t="shared" si="7"/>
        <v/>
      </c>
      <c r="T22" s="1" t="str">
        <f t="shared" si="8"/>
        <v/>
      </c>
      <c r="U22" s="1" t="str">
        <f t="shared" si="9"/>
        <v/>
      </c>
      <c r="V22" s="1">
        <f>IFERROR(VLOOKUP(T22,'Dummy Amount'!$A$2:$B$66,2,FALSE),0)</f>
        <v>0</v>
      </c>
      <c r="W22" s="1" t="str">
        <f t="shared" si="10"/>
        <v/>
      </c>
      <c r="X22" s="1">
        <f>IFERROR(VLOOKUP(W22,'Dummy Amount'!$A$2:$B$66,2,FALSE),0)</f>
        <v>0</v>
      </c>
      <c r="Y22" s="1" t="str">
        <f t="shared" si="11"/>
        <v/>
      </c>
      <c r="Z22" s="1"/>
    </row>
    <row r="23" spans="2:26" x14ac:dyDescent="0.3">
      <c r="B23" s="1"/>
      <c r="C23" s="54"/>
      <c r="D23" s="1"/>
      <c r="E23" s="1"/>
      <c r="F23" s="1"/>
      <c r="G23" s="1"/>
      <c r="H23" s="1"/>
      <c r="I23" s="1" t="str">
        <f t="shared" si="4"/>
        <v/>
      </c>
      <c r="J23" s="1">
        <f>IFERROR(VLOOKUP(I23,'Dummy Amount'!$A$2:$B$66,2,FALSE),0)</f>
        <v>0</v>
      </c>
      <c r="K23" s="9" t="s">
        <v>5</v>
      </c>
      <c r="L23" s="1" t="str">
        <f t="shared" si="5"/>
        <v>CYR</v>
      </c>
      <c r="M23" s="1" t="str">
        <f t="shared" si="0"/>
        <v>Inclusive</v>
      </c>
      <c r="N23" s="1">
        <f>IFERROR(VLOOKUP(L23,'Dummy Amount'!A19:B83,2,FALSE),0)</f>
        <v>50</v>
      </c>
      <c r="O23" s="1" t="str">
        <f t="shared" si="1"/>
        <v>No</v>
      </c>
      <c r="P23" s="1" t="str">
        <f t="shared" si="2"/>
        <v/>
      </c>
      <c r="Q23" s="1">
        <f>IFERROR(VLOOKUP(P23,'Dummy Amount'!$A$2:$B$66,2,FALSE),0)</f>
        <v>0</v>
      </c>
      <c r="R23" s="1" t="str">
        <f t="shared" si="6"/>
        <v/>
      </c>
      <c r="S23" s="1" t="str">
        <f t="shared" si="7"/>
        <v/>
      </c>
      <c r="T23" s="1" t="str">
        <f t="shared" si="8"/>
        <v>CYR</v>
      </c>
      <c r="U23" s="1" t="str">
        <f t="shared" si="9"/>
        <v>Inclusive</v>
      </c>
      <c r="V23" s="1">
        <f>IFERROR(VLOOKUP(T23,'Dummy Amount'!$A$2:$B$66,2,FALSE),0)</f>
        <v>50</v>
      </c>
      <c r="W23" s="1" t="str">
        <f t="shared" si="10"/>
        <v/>
      </c>
      <c r="X23" s="1">
        <f>IFERROR(VLOOKUP(W23,'Dummy Amount'!$A$2:$B$66,2,FALSE),0)</f>
        <v>0</v>
      </c>
      <c r="Y23" s="1" t="str">
        <f t="shared" si="11"/>
        <v/>
      </c>
      <c r="Z23" s="1"/>
    </row>
    <row r="24" spans="2:26" x14ac:dyDescent="0.3">
      <c r="B24" s="1" t="s">
        <v>45</v>
      </c>
      <c r="C24" s="54"/>
      <c r="D24" s="1"/>
      <c r="E24" s="1"/>
      <c r="F24" s="1" t="s">
        <v>45</v>
      </c>
      <c r="G24" s="1"/>
      <c r="H24" s="1"/>
      <c r="I24" s="1" t="str">
        <f t="shared" si="4"/>
        <v/>
      </c>
      <c r="J24" s="1">
        <f>IFERROR(VLOOKUP(I24,'Dummy Amount'!$A$2:$B$66,2,FALSE),0)</f>
        <v>0</v>
      </c>
      <c r="K24" s="9"/>
      <c r="L24" s="1" t="str">
        <f t="shared" si="5"/>
        <v/>
      </c>
      <c r="M24" s="1" t="str">
        <f t="shared" si="0"/>
        <v/>
      </c>
      <c r="N24" s="1">
        <f>IFERROR(VLOOKUP(L24,'Dummy Amount'!A20:B84,2,FALSE),0)</f>
        <v>0</v>
      </c>
      <c r="O24" s="1" t="str">
        <f t="shared" si="1"/>
        <v/>
      </c>
      <c r="P24" s="1" t="str">
        <f t="shared" si="2"/>
        <v/>
      </c>
      <c r="Q24" s="1">
        <f>IFERROR(VLOOKUP(P24,'Dummy Amount'!$A$2:$B$66,2,FALSE),0)</f>
        <v>0</v>
      </c>
      <c r="R24" s="1" t="str">
        <f t="shared" si="6"/>
        <v/>
      </c>
      <c r="S24" s="1" t="str">
        <f t="shared" si="7"/>
        <v/>
      </c>
      <c r="T24" s="1" t="str">
        <f t="shared" si="8"/>
        <v/>
      </c>
      <c r="U24" s="1" t="str">
        <f t="shared" si="9"/>
        <v/>
      </c>
      <c r="V24" s="1">
        <f>IFERROR(VLOOKUP(T24,'Dummy Amount'!$A$2:$B$66,2,FALSE),0)</f>
        <v>0</v>
      </c>
      <c r="W24" s="1" t="str">
        <f t="shared" si="10"/>
        <v/>
      </c>
      <c r="X24" s="1">
        <f>IFERROR(VLOOKUP(W24,'Dummy Amount'!$A$2:$B$66,2,FALSE),0)</f>
        <v>0</v>
      </c>
      <c r="Y24" s="1" t="str">
        <f t="shared" si="11"/>
        <v/>
      </c>
      <c r="Z24" s="1"/>
    </row>
    <row r="25" spans="2:26" x14ac:dyDescent="0.3">
      <c r="B25" s="1" t="s">
        <v>12</v>
      </c>
      <c r="C25" s="54"/>
      <c r="D25" s="1" t="s">
        <v>12</v>
      </c>
      <c r="E25" s="1"/>
      <c r="F25" s="1"/>
      <c r="G25" s="1"/>
      <c r="H25" s="1" t="s">
        <v>12</v>
      </c>
      <c r="I25" s="1" t="str">
        <f t="shared" si="4"/>
        <v>DOC</v>
      </c>
      <c r="J25" s="1">
        <f>IFERROR(VLOOKUP(I25,'Dummy Amount'!$A$2:$B$66,2,FALSE),0)</f>
        <v>50</v>
      </c>
      <c r="K25" s="9" t="s">
        <v>12</v>
      </c>
      <c r="L25" s="1" t="str">
        <f t="shared" si="5"/>
        <v>DOC</v>
      </c>
      <c r="M25" s="1" t="str">
        <f t="shared" si="0"/>
        <v>Subject/Fixed</v>
      </c>
      <c r="N25" s="1">
        <f>IFERROR(VLOOKUP(L25,'Dummy Amount'!A21:B85,2,FALSE),0)</f>
        <v>50</v>
      </c>
      <c r="O25" s="1" t="str">
        <f t="shared" si="1"/>
        <v>No</v>
      </c>
      <c r="P25" s="1" t="str">
        <f t="shared" si="2"/>
        <v>DOC</v>
      </c>
      <c r="Q25" s="1">
        <f>IFERROR(VLOOKUP(P25,'Dummy Amount'!$A$2:$B$66,2,FALSE),0)</f>
        <v>50</v>
      </c>
      <c r="R25" s="1" t="str">
        <f t="shared" si="6"/>
        <v>Yes</v>
      </c>
      <c r="S25" s="1" t="str">
        <f t="shared" si="7"/>
        <v>DOC</v>
      </c>
      <c r="T25" s="1" t="str">
        <f t="shared" si="8"/>
        <v>DOC</v>
      </c>
      <c r="U25" s="1" t="str">
        <f t="shared" si="9"/>
        <v>Subject/Fixed</v>
      </c>
      <c r="V25" s="1">
        <f>IFERROR(VLOOKUP(T25,'Dummy Amount'!$A$2:$B$66,2,FALSE),0)</f>
        <v>50</v>
      </c>
      <c r="W25" s="1" t="str">
        <f t="shared" si="10"/>
        <v>DOC</v>
      </c>
      <c r="X25" s="1">
        <f>IFERROR(VLOOKUP(W25,'Dummy Amount'!$A$2:$B$66,2,FALSE),0)</f>
        <v>50</v>
      </c>
      <c r="Y25" s="1" t="str">
        <f t="shared" si="11"/>
        <v>Yes</v>
      </c>
      <c r="Z25" s="1"/>
    </row>
    <row r="26" spans="2:26" x14ac:dyDescent="0.3">
      <c r="B26" s="1" t="s">
        <v>13</v>
      </c>
      <c r="C26" s="54"/>
      <c r="D26" s="1" t="s">
        <v>13</v>
      </c>
      <c r="E26" s="1"/>
      <c r="F26" s="1"/>
      <c r="G26" s="1"/>
      <c r="H26" s="1"/>
      <c r="I26" s="1" t="str">
        <f t="shared" si="4"/>
        <v/>
      </c>
      <c r="J26" s="1">
        <f>IFERROR(VLOOKUP(I26,'Dummy Amount'!$A$2:$B$66,2,FALSE),0)</f>
        <v>0</v>
      </c>
      <c r="K26" s="9" t="s">
        <v>13</v>
      </c>
      <c r="L26" s="1" t="str">
        <f t="shared" si="5"/>
        <v>DOF</v>
      </c>
      <c r="M26" s="1" t="str">
        <f t="shared" si="0"/>
        <v>Inclusive</v>
      </c>
      <c r="N26" s="1">
        <f>IFERROR(VLOOKUP(L26,'Dummy Amount'!A22:B86,2,FALSE),0)</f>
        <v>50</v>
      </c>
      <c r="O26" s="1" t="str">
        <f t="shared" si="1"/>
        <v>No</v>
      </c>
      <c r="P26" s="1" t="str">
        <f t="shared" si="2"/>
        <v/>
      </c>
      <c r="Q26" s="1">
        <f>IFERROR(VLOOKUP(P26,'Dummy Amount'!$A$2:$B$66,2,FALSE),0)</f>
        <v>0</v>
      </c>
      <c r="R26" s="1" t="str">
        <f t="shared" si="6"/>
        <v/>
      </c>
      <c r="S26" s="1" t="str">
        <f t="shared" si="7"/>
        <v/>
      </c>
      <c r="T26" s="1" t="str">
        <f t="shared" si="8"/>
        <v>DOF</v>
      </c>
      <c r="U26" s="1" t="str">
        <f t="shared" si="9"/>
        <v>Inclusive</v>
      </c>
      <c r="V26" s="1">
        <f>IFERROR(VLOOKUP(T26,'Dummy Amount'!$A$2:$B$66,2,FALSE),0)</f>
        <v>50</v>
      </c>
      <c r="W26" s="1" t="str">
        <f t="shared" si="10"/>
        <v/>
      </c>
      <c r="X26" s="1">
        <f>IFERROR(VLOOKUP(W26,'Dummy Amount'!$A$2:$B$66,2,FALSE),0)</f>
        <v>0</v>
      </c>
      <c r="Y26" s="1" t="str">
        <f t="shared" si="11"/>
        <v/>
      </c>
      <c r="Z26" s="1"/>
    </row>
    <row r="27" spans="2:26" x14ac:dyDescent="0.3">
      <c r="B27" s="1"/>
      <c r="C27" s="54"/>
      <c r="D27" s="1"/>
      <c r="E27" s="1"/>
      <c r="F27" s="1"/>
      <c r="G27" s="1"/>
      <c r="H27" s="1"/>
      <c r="I27" s="1" t="str">
        <f t="shared" si="4"/>
        <v/>
      </c>
      <c r="J27" s="1">
        <f>IFERROR(VLOOKUP(I27,'Dummy Amount'!$A$2:$B$66,2,FALSE),0)</f>
        <v>0</v>
      </c>
      <c r="K27" s="9" t="s">
        <v>11</v>
      </c>
      <c r="L27" s="1" t="str">
        <f t="shared" si="5"/>
        <v>DRP</v>
      </c>
      <c r="M27" s="1" t="str">
        <f t="shared" si="0"/>
        <v>Inclusive</v>
      </c>
      <c r="N27" s="1">
        <f>IFERROR(VLOOKUP(L27,'Dummy Amount'!A23:B87,2,FALSE),0)</f>
        <v>50</v>
      </c>
      <c r="O27" s="1" t="str">
        <f t="shared" si="1"/>
        <v>No</v>
      </c>
      <c r="P27" s="1" t="str">
        <f t="shared" si="2"/>
        <v/>
      </c>
      <c r="Q27" s="1">
        <f>IFERROR(VLOOKUP(P27,'Dummy Amount'!$A$2:$B$66,2,FALSE),0)</f>
        <v>0</v>
      </c>
      <c r="R27" s="1" t="str">
        <f t="shared" si="6"/>
        <v/>
      </c>
      <c r="S27" s="1" t="str">
        <f t="shared" si="7"/>
        <v/>
      </c>
      <c r="T27" s="1" t="str">
        <f t="shared" si="8"/>
        <v>DRP</v>
      </c>
      <c r="U27" s="1" t="str">
        <f t="shared" si="9"/>
        <v>Inclusive</v>
      </c>
      <c r="V27" s="1">
        <f>IFERROR(VLOOKUP(T27,'Dummy Amount'!$A$2:$B$66,2,FALSE),0)</f>
        <v>50</v>
      </c>
      <c r="W27" s="1" t="str">
        <f t="shared" si="10"/>
        <v/>
      </c>
      <c r="X27" s="1">
        <f>IFERROR(VLOOKUP(W27,'Dummy Amount'!$A$2:$B$66,2,FALSE),0)</f>
        <v>0</v>
      </c>
      <c r="Y27" s="1" t="str">
        <f t="shared" si="11"/>
        <v/>
      </c>
      <c r="Z27" s="1"/>
    </row>
    <row r="28" spans="2:26" x14ac:dyDescent="0.3">
      <c r="B28" s="1" t="s">
        <v>1</v>
      </c>
      <c r="C28" s="54"/>
      <c r="D28" s="1"/>
      <c r="E28" s="1"/>
      <c r="F28" s="1" t="s">
        <v>1</v>
      </c>
      <c r="G28" s="1" t="s">
        <v>1</v>
      </c>
      <c r="H28" s="1" t="s">
        <v>1</v>
      </c>
      <c r="I28" s="1" t="str">
        <f t="shared" si="4"/>
        <v/>
      </c>
      <c r="J28" s="1">
        <f>IFERROR(VLOOKUP(I28,'Dummy Amount'!$A$2:$B$66,2,FALSE),0)</f>
        <v>0</v>
      </c>
      <c r="K28" s="9" t="s">
        <v>1</v>
      </c>
      <c r="L28" s="1" t="str">
        <f t="shared" si="5"/>
        <v>ECA</v>
      </c>
      <c r="M28" s="1" t="str">
        <f t="shared" si="0"/>
        <v>Inclusive</v>
      </c>
      <c r="N28" s="1">
        <f>IFERROR(VLOOKUP(L28,'Dummy Amount'!A24:B88,2,FALSE),0)</f>
        <v>50</v>
      </c>
      <c r="O28" s="1" t="str">
        <f t="shared" si="1"/>
        <v>No</v>
      </c>
      <c r="P28" s="1" t="str">
        <f t="shared" si="2"/>
        <v/>
      </c>
      <c r="Q28" s="1">
        <f>IFERROR(VLOOKUP(P28,'Dummy Amount'!$A$2:$B$66,2,FALSE),0)</f>
        <v>0</v>
      </c>
      <c r="R28" s="1" t="str">
        <f t="shared" si="6"/>
        <v/>
      </c>
      <c r="S28" s="1" t="str">
        <f t="shared" si="7"/>
        <v/>
      </c>
      <c r="T28" s="1" t="str">
        <f t="shared" si="8"/>
        <v>ECA</v>
      </c>
      <c r="U28" s="1" t="str">
        <f t="shared" si="9"/>
        <v>Inclusive</v>
      </c>
      <c r="V28" s="1">
        <f>IFERROR(VLOOKUP(T28,'Dummy Amount'!$A$2:$B$66,2,FALSE),0)</f>
        <v>50</v>
      </c>
      <c r="W28" s="1" t="str">
        <f t="shared" si="10"/>
        <v/>
      </c>
      <c r="X28" s="1">
        <f>IFERROR(VLOOKUP(W28,'Dummy Amount'!$A$2:$B$66,2,FALSE),0)</f>
        <v>0</v>
      </c>
      <c r="Y28" s="1" t="str">
        <f t="shared" si="11"/>
        <v/>
      </c>
      <c r="Z28" s="1"/>
    </row>
    <row r="29" spans="2:26" x14ac:dyDescent="0.3">
      <c r="B29" s="1" t="s">
        <v>46</v>
      </c>
      <c r="C29" s="54"/>
      <c r="D29" s="1"/>
      <c r="E29" s="1"/>
      <c r="F29" s="1" t="s">
        <v>46</v>
      </c>
      <c r="G29" s="1"/>
      <c r="H29" s="1"/>
      <c r="I29" s="1" t="str">
        <f t="shared" si="4"/>
        <v/>
      </c>
      <c r="J29" s="1">
        <f>IFERROR(VLOOKUP(I29,'Dummy Amount'!$A$2:$B$66,2,FALSE),0)</f>
        <v>0</v>
      </c>
      <c r="K29" s="9"/>
      <c r="L29" s="1" t="str">
        <f t="shared" si="5"/>
        <v/>
      </c>
      <c r="M29" s="1" t="str">
        <f t="shared" si="0"/>
        <v/>
      </c>
      <c r="N29" s="1">
        <f>IFERROR(VLOOKUP(L29,'Dummy Amount'!A25:B89,2,FALSE),0)</f>
        <v>0</v>
      </c>
      <c r="O29" s="1" t="str">
        <f t="shared" si="1"/>
        <v/>
      </c>
      <c r="P29" s="1" t="str">
        <f t="shared" si="2"/>
        <v/>
      </c>
      <c r="Q29" s="1">
        <f>IFERROR(VLOOKUP(P29,'Dummy Amount'!$A$2:$B$66,2,FALSE),0)</f>
        <v>0</v>
      </c>
      <c r="R29" s="1" t="str">
        <f t="shared" si="6"/>
        <v/>
      </c>
      <c r="S29" s="1" t="str">
        <f t="shared" si="7"/>
        <v/>
      </c>
      <c r="T29" s="1" t="str">
        <f t="shared" si="8"/>
        <v/>
      </c>
      <c r="U29" s="1" t="str">
        <f t="shared" si="9"/>
        <v/>
      </c>
      <c r="V29" s="1">
        <f>IFERROR(VLOOKUP(T29,'Dummy Amount'!$A$2:$B$66,2,FALSE),0)</f>
        <v>0</v>
      </c>
      <c r="W29" s="1" t="str">
        <f t="shared" si="10"/>
        <v/>
      </c>
      <c r="X29" s="1">
        <f>IFERROR(VLOOKUP(W29,'Dummy Amount'!$A$2:$B$66,2,FALSE),0)</f>
        <v>0</v>
      </c>
      <c r="Y29" s="1" t="str">
        <f t="shared" si="11"/>
        <v/>
      </c>
      <c r="Z29" s="1"/>
    </row>
    <row r="30" spans="2:26" x14ac:dyDescent="0.3">
      <c r="B30" s="1" t="s">
        <v>47</v>
      </c>
      <c r="C30" s="54"/>
      <c r="D30" s="1"/>
      <c r="E30" s="1"/>
      <c r="F30" s="1" t="s">
        <v>47</v>
      </c>
      <c r="G30" s="1"/>
      <c r="H30" s="1"/>
      <c r="I30" s="1" t="str">
        <f t="shared" si="4"/>
        <v/>
      </c>
      <c r="J30" s="1">
        <f>IFERROR(VLOOKUP(I30,'Dummy Amount'!$A$2:$B$66,2,FALSE),0)</f>
        <v>0</v>
      </c>
      <c r="K30" s="9"/>
      <c r="L30" s="1" t="str">
        <f t="shared" si="5"/>
        <v/>
      </c>
      <c r="M30" s="1" t="str">
        <f t="shared" si="0"/>
        <v/>
      </c>
      <c r="N30" s="1">
        <f>IFERROR(VLOOKUP(L30,'Dummy Amount'!A26:B90,2,FALSE),0)</f>
        <v>0</v>
      </c>
      <c r="O30" s="1" t="str">
        <f t="shared" si="1"/>
        <v/>
      </c>
      <c r="P30" s="1" t="str">
        <f t="shared" si="2"/>
        <v/>
      </c>
      <c r="Q30" s="1">
        <f>IFERROR(VLOOKUP(P30,'Dummy Amount'!$A$2:$B$66,2,FALSE),0)</f>
        <v>0</v>
      </c>
      <c r="R30" s="1" t="str">
        <f t="shared" si="6"/>
        <v/>
      </c>
      <c r="S30" s="1" t="str">
        <f t="shared" si="7"/>
        <v/>
      </c>
      <c r="T30" s="1" t="str">
        <f t="shared" si="8"/>
        <v/>
      </c>
      <c r="U30" s="1" t="str">
        <f t="shared" si="9"/>
        <v/>
      </c>
      <c r="V30" s="1">
        <f>IFERROR(VLOOKUP(T30,'Dummy Amount'!$A$2:$B$66,2,FALSE),0)</f>
        <v>0</v>
      </c>
      <c r="W30" s="1" t="str">
        <f t="shared" si="10"/>
        <v/>
      </c>
      <c r="X30" s="1">
        <f>IFERROR(VLOOKUP(W30,'Dummy Amount'!$A$2:$B$66,2,FALSE),0)</f>
        <v>0</v>
      </c>
      <c r="Y30" s="1" t="str">
        <f t="shared" si="11"/>
        <v/>
      </c>
      <c r="Z30" s="1"/>
    </row>
    <row r="31" spans="2:26" x14ac:dyDescent="0.3">
      <c r="B31" s="1" t="s">
        <v>48</v>
      </c>
      <c r="C31" s="54"/>
      <c r="D31" s="1"/>
      <c r="E31" s="1"/>
      <c r="F31" s="1" t="s">
        <v>48</v>
      </c>
      <c r="G31" s="1"/>
      <c r="H31" s="1"/>
      <c r="I31" s="1" t="str">
        <f t="shared" si="4"/>
        <v/>
      </c>
      <c r="J31" s="1">
        <f>IFERROR(VLOOKUP(I31,'Dummy Amount'!$A$2:$B$66,2,FALSE),0)</f>
        <v>0</v>
      </c>
      <c r="K31" s="9"/>
      <c r="L31" s="1" t="str">
        <f t="shared" si="5"/>
        <v/>
      </c>
      <c r="M31" s="1" t="str">
        <f t="shared" si="0"/>
        <v/>
      </c>
      <c r="N31" s="1">
        <f>IFERROR(VLOOKUP(L31,'Dummy Amount'!A27:B91,2,FALSE),0)</f>
        <v>0</v>
      </c>
      <c r="O31" s="1" t="str">
        <f t="shared" si="1"/>
        <v/>
      </c>
      <c r="P31" s="1" t="str">
        <f t="shared" si="2"/>
        <v/>
      </c>
      <c r="Q31" s="1">
        <f>IFERROR(VLOOKUP(P31,'Dummy Amount'!$A$2:$B$66,2,FALSE),0)</f>
        <v>0</v>
      </c>
      <c r="R31" s="1" t="str">
        <f t="shared" si="6"/>
        <v/>
      </c>
      <c r="S31" s="1" t="str">
        <f t="shared" si="7"/>
        <v/>
      </c>
      <c r="T31" s="1" t="str">
        <f t="shared" si="8"/>
        <v/>
      </c>
      <c r="U31" s="1" t="str">
        <f t="shared" si="9"/>
        <v/>
      </c>
      <c r="V31" s="1">
        <f>IFERROR(VLOOKUP(T31,'Dummy Amount'!$A$2:$B$66,2,FALSE),0)</f>
        <v>0</v>
      </c>
      <c r="W31" s="1" t="str">
        <f t="shared" si="10"/>
        <v/>
      </c>
      <c r="X31" s="1">
        <f>IFERROR(VLOOKUP(W31,'Dummy Amount'!$A$2:$B$66,2,FALSE),0)</f>
        <v>0</v>
      </c>
      <c r="Y31" s="1" t="str">
        <f t="shared" si="11"/>
        <v/>
      </c>
      <c r="Z31" s="1"/>
    </row>
    <row r="32" spans="2:26" x14ac:dyDescent="0.3">
      <c r="B32" s="1" t="s">
        <v>49</v>
      </c>
      <c r="C32" s="54"/>
      <c r="D32" s="1"/>
      <c r="E32" s="1"/>
      <c r="F32" s="1" t="s">
        <v>49</v>
      </c>
      <c r="G32" s="1"/>
      <c r="H32" s="1"/>
      <c r="I32" s="1" t="str">
        <f t="shared" si="4"/>
        <v/>
      </c>
      <c r="J32" s="1">
        <f>IFERROR(VLOOKUP(I32,'Dummy Amount'!$A$2:$B$66,2,FALSE),0)</f>
        <v>0</v>
      </c>
      <c r="K32" s="9"/>
      <c r="L32" s="1" t="str">
        <f t="shared" si="5"/>
        <v/>
      </c>
      <c r="M32" s="1" t="str">
        <f t="shared" si="0"/>
        <v/>
      </c>
      <c r="N32" s="1">
        <f>IFERROR(VLOOKUP(L32,'Dummy Amount'!A28:B92,2,FALSE),0)</f>
        <v>0</v>
      </c>
      <c r="O32" s="1" t="str">
        <f t="shared" si="1"/>
        <v/>
      </c>
      <c r="P32" s="1" t="str">
        <f t="shared" si="2"/>
        <v/>
      </c>
      <c r="Q32" s="1">
        <f>IFERROR(VLOOKUP(P32,'Dummy Amount'!$A$2:$B$66,2,FALSE),0)</f>
        <v>0</v>
      </c>
      <c r="R32" s="1" t="str">
        <f t="shared" si="6"/>
        <v/>
      </c>
      <c r="S32" s="1" t="str">
        <f t="shared" si="7"/>
        <v/>
      </c>
      <c r="T32" s="1" t="str">
        <f t="shared" si="8"/>
        <v/>
      </c>
      <c r="U32" s="1" t="str">
        <f t="shared" si="9"/>
        <v/>
      </c>
      <c r="V32" s="1">
        <f>IFERROR(VLOOKUP(T32,'Dummy Amount'!$A$2:$B$66,2,FALSE),0)</f>
        <v>0</v>
      </c>
      <c r="W32" s="1" t="str">
        <f t="shared" si="10"/>
        <v/>
      </c>
      <c r="X32" s="1">
        <f>IFERROR(VLOOKUP(W32,'Dummy Amount'!$A$2:$B$66,2,FALSE),0)</f>
        <v>0</v>
      </c>
      <c r="Y32" s="1" t="str">
        <f t="shared" si="11"/>
        <v/>
      </c>
      <c r="Z32" s="1"/>
    </row>
    <row r="33" spans="2:26" x14ac:dyDescent="0.3">
      <c r="B33" s="1" t="s">
        <v>50</v>
      </c>
      <c r="C33" s="54"/>
      <c r="D33" s="1"/>
      <c r="E33" s="1"/>
      <c r="F33" s="1" t="s">
        <v>50</v>
      </c>
      <c r="G33" s="1"/>
      <c r="H33" s="1"/>
      <c r="I33" s="1" t="str">
        <f t="shared" si="4"/>
        <v/>
      </c>
      <c r="J33" s="1">
        <f>IFERROR(VLOOKUP(I33,'Dummy Amount'!$A$2:$B$66,2,FALSE),0)</f>
        <v>0</v>
      </c>
      <c r="K33" s="9"/>
      <c r="L33" s="1" t="str">
        <f t="shared" si="5"/>
        <v/>
      </c>
      <c r="M33" s="1" t="str">
        <f t="shared" si="0"/>
        <v/>
      </c>
      <c r="N33" s="1">
        <f>IFERROR(VLOOKUP(L33,'Dummy Amount'!A29:B93,2,FALSE),0)</f>
        <v>0</v>
      </c>
      <c r="O33" s="1" t="str">
        <f t="shared" si="1"/>
        <v/>
      </c>
      <c r="P33" s="1" t="str">
        <f t="shared" si="2"/>
        <v/>
      </c>
      <c r="Q33" s="1">
        <f>IFERROR(VLOOKUP(P33,'Dummy Amount'!$A$2:$B$66,2,FALSE),0)</f>
        <v>0</v>
      </c>
      <c r="R33" s="1" t="str">
        <f t="shared" si="6"/>
        <v/>
      </c>
      <c r="S33" s="1" t="str">
        <f t="shared" si="7"/>
        <v/>
      </c>
      <c r="T33" s="1" t="str">
        <f t="shared" si="8"/>
        <v/>
      </c>
      <c r="U33" s="1" t="str">
        <f t="shared" si="9"/>
        <v/>
      </c>
      <c r="V33" s="1">
        <f>IFERROR(VLOOKUP(T33,'Dummy Amount'!$A$2:$B$66,2,FALSE),0)</f>
        <v>0</v>
      </c>
      <c r="W33" s="1" t="str">
        <f t="shared" si="10"/>
        <v/>
      </c>
      <c r="X33" s="1">
        <f>IFERROR(VLOOKUP(W33,'Dummy Amount'!$A$2:$B$66,2,FALSE),0)</f>
        <v>0</v>
      </c>
      <c r="Y33" s="1" t="str">
        <f t="shared" si="11"/>
        <v/>
      </c>
      <c r="Z33" s="1"/>
    </row>
    <row r="34" spans="2:26" x14ac:dyDescent="0.3">
      <c r="B34" s="1" t="s">
        <v>74</v>
      </c>
      <c r="C34" s="54"/>
      <c r="D34" s="1" t="s">
        <v>74</v>
      </c>
      <c r="E34" s="1"/>
      <c r="F34" s="1"/>
      <c r="G34" s="1"/>
      <c r="H34" s="1"/>
      <c r="I34" s="1" t="str">
        <f t="shared" si="4"/>
        <v/>
      </c>
      <c r="J34" s="1">
        <f>IFERROR(VLOOKUP(I34,'Dummy Amount'!$A$2:$B$66,2,FALSE),0)</f>
        <v>0</v>
      </c>
      <c r="K34" s="9"/>
      <c r="L34" s="1" t="str">
        <f t="shared" si="5"/>
        <v/>
      </c>
      <c r="M34" s="1" t="str">
        <f t="shared" si="0"/>
        <v/>
      </c>
      <c r="N34" s="1">
        <f>IFERROR(VLOOKUP(L34,'Dummy Amount'!A30:B94,2,FALSE),0)</f>
        <v>0</v>
      </c>
      <c r="O34" s="1" t="str">
        <f t="shared" si="1"/>
        <v/>
      </c>
      <c r="P34" s="1" t="str">
        <f t="shared" si="2"/>
        <v/>
      </c>
      <c r="Q34" s="1">
        <f>IFERROR(VLOOKUP(P34,'Dummy Amount'!$A$2:$B$66,2,FALSE),0)</f>
        <v>0</v>
      </c>
      <c r="R34" s="1" t="str">
        <f t="shared" si="6"/>
        <v/>
      </c>
      <c r="S34" s="1" t="str">
        <f t="shared" si="7"/>
        <v/>
      </c>
      <c r="T34" s="1" t="str">
        <f t="shared" si="8"/>
        <v/>
      </c>
      <c r="U34" s="1" t="str">
        <f t="shared" si="9"/>
        <v/>
      </c>
      <c r="V34" s="1">
        <f>IFERROR(VLOOKUP(T34,'Dummy Amount'!$A$2:$B$66,2,FALSE),0)</f>
        <v>0</v>
      </c>
      <c r="W34" s="1" t="str">
        <f t="shared" si="10"/>
        <v/>
      </c>
      <c r="X34" s="1">
        <f>IFERROR(VLOOKUP(W34,'Dummy Amount'!$A$2:$B$66,2,FALSE),0)</f>
        <v>0</v>
      </c>
      <c r="Y34" s="1" t="str">
        <f t="shared" si="11"/>
        <v/>
      </c>
      <c r="Z34" s="1"/>
    </row>
    <row r="35" spans="2:26" x14ac:dyDescent="0.3">
      <c r="B35" s="1"/>
      <c r="C35" s="54"/>
      <c r="D35" s="1"/>
      <c r="E35" s="1"/>
      <c r="F35" s="1"/>
      <c r="G35" s="1"/>
      <c r="H35" s="1"/>
      <c r="I35" s="1" t="str">
        <f t="shared" si="4"/>
        <v/>
      </c>
      <c r="J35" s="1">
        <f>IFERROR(VLOOKUP(I35,'Dummy Amount'!$A$2:$B$66,2,FALSE),0)</f>
        <v>0</v>
      </c>
      <c r="K35" s="9" t="s">
        <v>23</v>
      </c>
      <c r="L35" s="1" t="str">
        <f t="shared" si="5"/>
        <v>FI</v>
      </c>
      <c r="M35" s="1" t="str">
        <f t="shared" si="0"/>
        <v>Inclusive</v>
      </c>
      <c r="N35" s="1">
        <f>IFERROR(VLOOKUP(L35,'Dummy Amount'!A31:B95,2,FALSE),0)</f>
        <v>50</v>
      </c>
      <c r="O35" s="1" t="str">
        <f t="shared" si="1"/>
        <v>No</v>
      </c>
      <c r="P35" s="1" t="str">
        <f t="shared" si="2"/>
        <v/>
      </c>
      <c r="Q35" s="1">
        <f>IFERROR(VLOOKUP(P35,'Dummy Amount'!$A$2:$B$66,2,FALSE),0)</f>
        <v>0</v>
      </c>
      <c r="R35" s="1" t="str">
        <f t="shared" si="6"/>
        <v/>
      </c>
      <c r="S35" s="1" t="str">
        <f t="shared" si="7"/>
        <v/>
      </c>
      <c r="T35" s="1" t="str">
        <f t="shared" si="8"/>
        <v>FI</v>
      </c>
      <c r="U35" s="1" t="str">
        <f t="shared" si="9"/>
        <v>Inclusive</v>
      </c>
      <c r="V35" s="1">
        <f>IFERROR(VLOOKUP(T35,'Dummy Amount'!$A$2:$B$66,2,FALSE),0)</f>
        <v>50</v>
      </c>
      <c r="W35" s="1" t="str">
        <f t="shared" si="10"/>
        <v/>
      </c>
      <c r="X35" s="1">
        <f>IFERROR(VLOOKUP(W35,'Dummy Amount'!$A$2:$B$66,2,FALSE),0)</f>
        <v>0</v>
      </c>
      <c r="Y35" s="1" t="str">
        <f t="shared" si="11"/>
        <v/>
      </c>
      <c r="Z35" s="1"/>
    </row>
    <row r="36" spans="2:26" x14ac:dyDescent="0.3">
      <c r="B36" s="1"/>
      <c r="C36" s="54"/>
      <c r="D36" s="1"/>
      <c r="E36" s="1"/>
      <c r="F36" s="1"/>
      <c r="G36" s="1"/>
      <c r="H36" s="1"/>
      <c r="I36" s="1" t="str">
        <f t="shared" si="4"/>
        <v/>
      </c>
      <c r="J36" s="1">
        <f>IFERROR(VLOOKUP(I36,'Dummy Amount'!$A$2:$B$66,2,FALSE),0)</f>
        <v>0</v>
      </c>
      <c r="K36" s="9" t="s">
        <v>24</v>
      </c>
      <c r="L36" s="1" t="str">
        <f t="shared" si="5"/>
        <v>FO</v>
      </c>
      <c r="M36" s="1" t="str">
        <f t="shared" si="0"/>
        <v>Inclusive</v>
      </c>
      <c r="N36" s="1">
        <f>IFERROR(VLOOKUP(L36,'Dummy Amount'!A32:B96,2,FALSE),0)</f>
        <v>50</v>
      </c>
      <c r="O36" s="1" t="str">
        <f t="shared" si="1"/>
        <v>No</v>
      </c>
      <c r="P36" s="1" t="str">
        <f t="shared" si="2"/>
        <v/>
      </c>
      <c r="Q36" s="1">
        <f>IFERROR(VLOOKUP(P36,'Dummy Amount'!$A$2:$B$66,2,FALSE),0)</f>
        <v>0</v>
      </c>
      <c r="R36" s="1" t="str">
        <f t="shared" si="6"/>
        <v/>
      </c>
      <c r="S36" s="1" t="str">
        <f t="shared" si="7"/>
        <v/>
      </c>
      <c r="T36" s="1" t="str">
        <f t="shared" si="8"/>
        <v>FO</v>
      </c>
      <c r="U36" s="1" t="str">
        <f t="shared" si="9"/>
        <v>Inclusive</v>
      </c>
      <c r="V36" s="1">
        <f>IFERROR(VLOOKUP(T36,'Dummy Amount'!$A$2:$B$66,2,FALSE),0)</f>
        <v>50</v>
      </c>
      <c r="W36" s="1" t="str">
        <f t="shared" si="10"/>
        <v/>
      </c>
      <c r="X36" s="1">
        <f>IFERROR(VLOOKUP(W36,'Dummy Amount'!$A$2:$B$66,2,FALSE),0)</f>
        <v>0</v>
      </c>
      <c r="Y36" s="1" t="str">
        <f t="shared" si="11"/>
        <v/>
      </c>
      <c r="Z36" s="1"/>
    </row>
    <row r="37" spans="2:26" x14ac:dyDescent="0.3">
      <c r="B37" s="1" t="s">
        <v>51</v>
      </c>
      <c r="C37" s="54"/>
      <c r="D37" s="1"/>
      <c r="E37" s="1"/>
      <c r="F37" s="1" t="s">
        <v>51</v>
      </c>
      <c r="G37" s="1"/>
      <c r="H37" s="1" t="s">
        <v>51</v>
      </c>
      <c r="I37" s="1" t="str">
        <f t="shared" si="4"/>
        <v/>
      </c>
      <c r="J37" s="1">
        <f>IFERROR(VLOOKUP(I37,'Dummy Amount'!$A$2:$B$66,2,FALSE),0)</f>
        <v>0</v>
      </c>
      <c r="K37" s="9"/>
      <c r="L37" s="1" t="str">
        <f t="shared" si="5"/>
        <v/>
      </c>
      <c r="M37" s="1" t="str">
        <f t="shared" si="0"/>
        <v/>
      </c>
      <c r="N37" s="1">
        <f>IFERROR(VLOOKUP(L37,'Dummy Amount'!A33:B97,2,FALSE),0)</f>
        <v>0</v>
      </c>
      <c r="O37" s="1" t="str">
        <f t="shared" si="1"/>
        <v/>
      </c>
      <c r="P37" s="1" t="str">
        <f t="shared" si="2"/>
        <v>GAT</v>
      </c>
      <c r="Q37" s="1">
        <f>IFERROR(VLOOKUP(P37,'Dummy Amount'!$A$2:$B$66,2,FALSE),0)</f>
        <v>33</v>
      </c>
      <c r="R37" s="1" t="str">
        <f t="shared" si="6"/>
        <v>No</v>
      </c>
      <c r="S37" s="1" t="str">
        <f t="shared" si="7"/>
        <v/>
      </c>
      <c r="T37" s="1" t="str">
        <f t="shared" si="8"/>
        <v/>
      </c>
      <c r="U37" s="1" t="str">
        <f t="shared" si="9"/>
        <v/>
      </c>
      <c r="V37" s="1">
        <f>IFERROR(VLOOKUP(T37,'Dummy Amount'!$A$2:$B$66,2,FALSE),0)</f>
        <v>0</v>
      </c>
      <c r="W37" s="1" t="str">
        <f t="shared" si="10"/>
        <v>GAT</v>
      </c>
      <c r="X37" s="1">
        <f>IFERROR(VLOOKUP(W37,'Dummy Amount'!$A$2:$B$66,2,FALSE),0)</f>
        <v>33</v>
      </c>
      <c r="Y37" s="1" t="str">
        <f t="shared" si="11"/>
        <v>No</v>
      </c>
      <c r="Z37" s="1"/>
    </row>
    <row r="38" spans="2:26" x14ac:dyDescent="0.3">
      <c r="B38" s="1" t="s">
        <v>52</v>
      </c>
      <c r="C38" s="54"/>
      <c r="D38" s="1"/>
      <c r="E38" s="1"/>
      <c r="F38" s="1" t="s">
        <v>52</v>
      </c>
      <c r="G38" s="1"/>
      <c r="H38" s="1"/>
      <c r="I38" s="1" t="str">
        <f t="shared" si="4"/>
        <v/>
      </c>
      <c r="J38" s="1">
        <f>IFERROR(VLOOKUP(I38,'Dummy Amount'!$A$2:$B$66,2,FALSE),0)</f>
        <v>0</v>
      </c>
      <c r="K38" s="9"/>
      <c r="L38" s="1" t="str">
        <f t="shared" si="5"/>
        <v/>
      </c>
      <c r="M38" s="1" t="str">
        <f t="shared" ref="M38:M69" si="12">IF(L38="","",IF(I38&lt;&gt;"","Subject/Fixed","Inclusive"))</f>
        <v/>
      </c>
      <c r="N38" s="1">
        <f>IFERROR(VLOOKUP(L38,'Dummy Amount'!A34:B98,2,FALSE),0)</f>
        <v>0</v>
      </c>
      <c r="O38" s="1" t="str">
        <f t="shared" ref="O38:O71" si="13">IF(L38="","",IF(I38="","No",IF(K38="","Yes","No")))</f>
        <v/>
      </c>
      <c r="P38" s="1" t="str">
        <f t="shared" ref="P38:P71" si="14">IF($P$3="","",IF($P$3="LT_MRG",IF($H38="","",IF($G38="",$H38,"")),IF($H38="","",IF($F38="",$H38,""))))</f>
        <v/>
      </c>
      <c r="Q38" s="1">
        <f>IFERROR(VLOOKUP(P38,'Dummy Amount'!$A$2:$B$66,2,FALSE),0)</f>
        <v>0</v>
      </c>
      <c r="R38" s="1" t="str">
        <f t="shared" si="6"/>
        <v/>
      </c>
      <c r="S38" s="1" t="str">
        <f t="shared" si="7"/>
        <v/>
      </c>
      <c r="T38" s="1" t="str">
        <f t="shared" si="8"/>
        <v/>
      </c>
      <c r="U38" s="1" t="str">
        <f t="shared" si="9"/>
        <v/>
      </c>
      <c r="V38" s="1">
        <f>IFERROR(VLOOKUP(T38,'Dummy Amount'!$A$2:$B$66,2,FALSE),0)</f>
        <v>0</v>
      </c>
      <c r="W38" s="1" t="str">
        <f t="shared" si="10"/>
        <v/>
      </c>
      <c r="X38" s="1">
        <f>IFERROR(VLOOKUP(W38,'Dummy Amount'!$A$2:$B$66,2,FALSE),0)</f>
        <v>0</v>
      </c>
      <c r="Y38" s="1" t="str">
        <f t="shared" si="11"/>
        <v/>
      </c>
      <c r="Z38" s="1"/>
    </row>
    <row r="39" spans="2:26" x14ac:dyDescent="0.3">
      <c r="B39" s="1" t="s">
        <v>53</v>
      </c>
      <c r="C39" s="54"/>
      <c r="D39" s="1"/>
      <c r="E39" s="1"/>
      <c r="F39" s="1" t="s">
        <v>53</v>
      </c>
      <c r="G39" s="1"/>
      <c r="H39" s="1"/>
      <c r="I39" s="1" t="str">
        <f t="shared" si="4"/>
        <v/>
      </c>
      <c r="J39" s="1">
        <f>IFERROR(VLOOKUP(I39,'Dummy Amount'!$A$2:$B$66,2,FALSE),0)</f>
        <v>0</v>
      </c>
      <c r="K39" s="9"/>
      <c r="L39" s="1" t="str">
        <f t="shared" si="5"/>
        <v/>
      </c>
      <c r="M39" s="1" t="str">
        <f t="shared" si="12"/>
        <v/>
      </c>
      <c r="N39" s="1">
        <f>IFERROR(VLOOKUP(L39,'Dummy Amount'!A35:B99,2,FALSE),0)</f>
        <v>0</v>
      </c>
      <c r="O39" s="1" t="str">
        <f t="shared" si="13"/>
        <v/>
      </c>
      <c r="P39" s="1" t="str">
        <f t="shared" si="14"/>
        <v/>
      </c>
      <c r="Q39" s="1">
        <f>IFERROR(VLOOKUP(P39,'Dummy Amount'!$A$2:$B$66,2,FALSE),0)</f>
        <v>0</v>
      </c>
      <c r="R39" s="1" t="str">
        <f t="shared" si="6"/>
        <v/>
      </c>
      <c r="S39" s="1" t="str">
        <f t="shared" ref="S39:S70" si="15">IF($S$3="","",IF($S$3="LT_MRG",IF($H39="","",IF($G39="",$H39,"")),IF($H39="","",IF($F39="",$H39,""))))</f>
        <v/>
      </c>
      <c r="T39" s="1" t="str">
        <f t="shared" ref="T39:T69" si="16">IF($T$3="Y",IF($S39="",IF($L39&lt;&gt;"",$L39,""),$S39),"")</f>
        <v/>
      </c>
      <c r="U39" s="1" t="str">
        <f t="shared" si="9"/>
        <v/>
      </c>
      <c r="V39" s="1">
        <f>IFERROR(VLOOKUP(T39,'Dummy Amount'!$A$2:$B$66,2,FALSE),0)</f>
        <v>0</v>
      </c>
      <c r="W39" s="1" t="str">
        <f t="shared" si="10"/>
        <v/>
      </c>
      <c r="X39" s="1">
        <f>IFERROR(VLOOKUP(W39,'Dummy Amount'!$A$2:$B$66,2,FALSE),0)</f>
        <v>0</v>
      </c>
      <c r="Y39" s="1" t="str">
        <f t="shared" si="11"/>
        <v/>
      </c>
      <c r="Z39" s="1"/>
    </row>
    <row r="40" spans="2:26" x14ac:dyDescent="0.3">
      <c r="B40" s="1" t="s">
        <v>21</v>
      </c>
      <c r="C40" s="54"/>
      <c r="D40" s="1"/>
      <c r="E40" s="1"/>
      <c r="F40" s="1" t="s">
        <v>21</v>
      </c>
      <c r="G40" s="1"/>
      <c r="H40" s="1"/>
      <c r="I40" s="1" t="str">
        <f t="shared" si="4"/>
        <v/>
      </c>
      <c r="J40" s="1">
        <f>IFERROR(VLOOKUP(I40,'Dummy Amount'!$A$2:$B$66,2,FALSE),0)</f>
        <v>0</v>
      </c>
      <c r="K40" s="9" t="s">
        <v>21</v>
      </c>
      <c r="L40" s="1" t="str">
        <f t="shared" si="5"/>
        <v>HAZ</v>
      </c>
      <c r="M40" s="1" t="str">
        <f t="shared" si="12"/>
        <v>Inclusive</v>
      </c>
      <c r="N40" s="1">
        <f>IFERROR(VLOOKUP(L40,'Dummy Amount'!A36:B100,2,FALSE),0)</f>
        <v>50</v>
      </c>
      <c r="O40" s="1" t="str">
        <f t="shared" si="13"/>
        <v>No</v>
      </c>
      <c r="P40" s="1" t="str">
        <f t="shared" si="14"/>
        <v/>
      </c>
      <c r="Q40" s="1">
        <f>IFERROR(VLOOKUP(P40,'Dummy Amount'!$A$2:$B$66,2,FALSE),0)</f>
        <v>0</v>
      </c>
      <c r="R40" s="1" t="str">
        <f t="shared" si="6"/>
        <v/>
      </c>
      <c r="S40" s="1" t="str">
        <f t="shared" si="15"/>
        <v/>
      </c>
      <c r="T40" s="1" t="str">
        <f t="shared" si="16"/>
        <v>HAZ</v>
      </c>
      <c r="U40" s="1" t="str">
        <f t="shared" si="9"/>
        <v>Inclusive</v>
      </c>
      <c r="V40" s="1">
        <f>IFERROR(VLOOKUP(T40,'Dummy Amount'!$A$2:$B$66,2,FALSE),0)</f>
        <v>50</v>
      </c>
      <c r="W40" s="1" t="str">
        <f t="shared" si="10"/>
        <v/>
      </c>
      <c r="X40" s="1">
        <f>IFERROR(VLOOKUP(W40,'Dummy Amount'!$A$2:$B$66,2,FALSE),0)</f>
        <v>0</v>
      </c>
      <c r="Y40" s="1" t="str">
        <f t="shared" si="11"/>
        <v/>
      </c>
      <c r="Z40" s="1"/>
    </row>
    <row r="41" spans="2:26" x14ac:dyDescent="0.3">
      <c r="B41" s="1" t="s">
        <v>20</v>
      </c>
      <c r="C41" s="54"/>
      <c r="D41" s="1"/>
      <c r="E41" s="1"/>
      <c r="F41" s="1" t="s">
        <v>20</v>
      </c>
      <c r="G41" s="1"/>
      <c r="H41" s="1"/>
      <c r="I41" s="1" t="str">
        <f t="shared" si="4"/>
        <v/>
      </c>
      <c r="J41" s="1">
        <f>IFERROR(VLOOKUP(I41,'Dummy Amount'!$A$2:$B$66,2,FALSE),0)</f>
        <v>0</v>
      </c>
      <c r="K41" s="9" t="s">
        <v>20</v>
      </c>
      <c r="L41" s="1" t="str">
        <f t="shared" si="5"/>
        <v>HEA</v>
      </c>
      <c r="M41" s="1" t="str">
        <f t="shared" si="12"/>
        <v>Inclusive</v>
      </c>
      <c r="N41" s="1">
        <f>IFERROR(VLOOKUP(L41,'Dummy Amount'!A37:B101,2,FALSE),0)</f>
        <v>50</v>
      </c>
      <c r="O41" s="1" t="str">
        <f t="shared" si="13"/>
        <v>No</v>
      </c>
      <c r="P41" s="1" t="str">
        <f t="shared" si="14"/>
        <v/>
      </c>
      <c r="Q41" s="1">
        <f>IFERROR(VLOOKUP(P41,'Dummy Amount'!$A$2:$B$66,2,FALSE),0)</f>
        <v>0</v>
      </c>
      <c r="R41" s="1" t="str">
        <f t="shared" si="6"/>
        <v/>
      </c>
      <c r="S41" s="1" t="str">
        <f t="shared" si="15"/>
        <v/>
      </c>
      <c r="T41" s="1" t="str">
        <f t="shared" si="16"/>
        <v>HEA</v>
      </c>
      <c r="U41" s="1" t="str">
        <f t="shared" si="9"/>
        <v>Inclusive</v>
      </c>
      <c r="V41" s="1">
        <f>IFERROR(VLOOKUP(T41,'Dummy Amount'!$A$2:$B$66,2,FALSE),0)</f>
        <v>50</v>
      </c>
      <c r="W41" s="1" t="str">
        <f t="shared" si="10"/>
        <v/>
      </c>
      <c r="X41" s="1">
        <f>IFERROR(VLOOKUP(W41,'Dummy Amount'!$A$2:$B$66,2,FALSE),0)</f>
        <v>0</v>
      </c>
      <c r="Y41" s="1" t="str">
        <f t="shared" si="11"/>
        <v/>
      </c>
      <c r="Z41" s="1"/>
    </row>
    <row r="42" spans="2:26" x14ac:dyDescent="0.3">
      <c r="B42" s="1" t="s">
        <v>54</v>
      </c>
      <c r="C42" s="54"/>
      <c r="D42" s="1"/>
      <c r="E42" s="1"/>
      <c r="F42" s="1" t="s">
        <v>54</v>
      </c>
      <c r="G42" s="1"/>
      <c r="H42" s="1"/>
      <c r="I42" s="1" t="str">
        <f t="shared" si="4"/>
        <v/>
      </c>
      <c r="J42" s="1">
        <f>IFERROR(VLOOKUP(I42,'Dummy Amount'!$A$2:$B$66,2,FALSE),0)</f>
        <v>0</v>
      </c>
      <c r="K42" s="9"/>
      <c r="L42" s="1" t="str">
        <f t="shared" si="5"/>
        <v/>
      </c>
      <c r="M42" s="1" t="str">
        <f t="shared" si="12"/>
        <v/>
      </c>
      <c r="N42" s="1">
        <f>IFERROR(VLOOKUP(L42,'Dummy Amount'!A38:B102,2,FALSE),0)</f>
        <v>0</v>
      </c>
      <c r="O42" s="1" t="str">
        <f t="shared" si="13"/>
        <v/>
      </c>
      <c r="P42" s="1" t="str">
        <f t="shared" si="14"/>
        <v/>
      </c>
      <c r="Q42" s="1">
        <f>IFERROR(VLOOKUP(P42,'Dummy Amount'!$A$2:$B$66,2,FALSE),0)</f>
        <v>0</v>
      </c>
      <c r="R42" s="1" t="str">
        <f t="shared" si="6"/>
        <v/>
      </c>
      <c r="S42" s="1" t="str">
        <f t="shared" si="15"/>
        <v/>
      </c>
      <c r="T42" s="1" t="str">
        <f t="shared" si="16"/>
        <v/>
      </c>
      <c r="U42" s="1" t="str">
        <f t="shared" si="9"/>
        <v/>
      </c>
      <c r="V42" s="1">
        <f>IFERROR(VLOOKUP(T42,'Dummy Amount'!$A$2:$B$66,2,FALSE),0)</f>
        <v>0</v>
      </c>
      <c r="W42" s="1" t="str">
        <f t="shared" si="10"/>
        <v/>
      </c>
      <c r="X42" s="1">
        <f>IFERROR(VLOOKUP(W42,'Dummy Amount'!$A$2:$B$66,2,FALSE),0)</f>
        <v>0</v>
      </c>
      <c r="Y42" s="1" t="str">
        <f t="shared" si="11"/>
        <v/>
      </c>
      <c r="Z42" s="1"/>
    </row>
    <row r="43" spans="2:26" x14ac:dyDescent="0.3">
      <c r="B43" s="1" t="s">
        <v>55</v>
      </c>
      <c r="C43" s="54"/>
      <c r="D43" s="1"/>
      <c r="E43" s="1"/>
      <c r="F43" s="1" t="s">
        <v>55</v>
      </c>
      <c r="G43" s="1"/>
      <c r="H43" s="1"/>
      <c r="I43" s="1" t="str">
        <f t="shared" si="4"/>
        <v/>
      </c>
      <c r="J43" s="1">
        <f>IFERROR(VLOOKUP(I43,'Dummy Amount'!$A$2:$B$66,2,FALSE),0)</f>
        <v>0</v>
      </c>
      <c r="K43" s="9"/>
      <c r="L43" s="1" t="str">
        <f t="shared" si="5"/>
        <v/>
      </c>
      <c r="M43" s="1" t="str">
        <f t="shared" si="12"/>
        <v/>
      </c>
      <c r="N43" s="1">
        <f>IFERROR(VLOOKUP(L43,'Dummy Amount'!A39:B103,2,FALSE),0)</f>
        <v>0</v>
      </c>
      <c r="O43" s="1" t="str">
        <f t="shared" si="13"/>
        <v/>
      </c>
      <c r="P43" s="1" t="str">
        <f t="shared" si="14"/>
        <v/>
      </c>
      <c r="Q43" s="1">
        <f>IFERROR(VLOOKUP(P43,'Dummy Amount'!$A$2:$B$66,2,FALSE),0)</f>
        <v>0</v>
      </c>
      <c r="R43" s="1" t="str">
        <f t="shared" si="6"/>
        <v/>
      </c>
      <c r="S43" s="1" t="str">
        <f t="shared" si="15"/>
        <v/>
      </c>
      <c r="T43" s="1" t="str">
        <f t="shared" si="16"/>
        <v/>
      </c>
      <c r="U43" s="1" t="str">
        <f t="shared" si="9"/>
        <v/>
      </c>
      <c r="V43" s="1">
        <f>IFERROR(VLOOKUP(T43,'Dummy Amount'!$A$2:$B$66,2,FALSE),0)</f>
        <v>0</v>
      </c>
      <c r="W43" s="1" t="str">
        <f t="shared" si="10"/>
        <v/>
      </c>
      <c r="X43" s="1">
        <f>IFERROR(VLOOKUP(W43,'Dummy Amount'!$A$2:$B$66,2,FALSE),0)</f>
        <v>0</v>
      </c>
      <c r="Y43" s="1" t="str">
        <f t="shared" si="11"/>
        <v/>
      </c>
      <c r="Z43" s="1"/>
    </row>
    <row r="44" spans="2:26" x14ac:dyDescent="0.3">
      <c r="B44" s="1" t="s">
        <v>56</v>
      </c>
      <c r="C44" s="54"/>
      <c r="D44" s="1"/>
      <c r="E44" s="1"/>
      <c r="F44" s="1" t="s">
        <v>56</v>
      </c>
      <c r="G44" s="1"/>
      <c r="H44" s="1"/>
      <c r="I44" s="1" t="str">
        <f t="shared" si="4"/>
        <v/>
      </c>
      <c r="J44" s="1">
        <f>IFERROR(VLOOKUP(I44,'Dummy Amount'!$A$2:$B$66,2,FALSE),0)</f>
        <v>0</v>
      </c>
      <c r="K44" s="9"/>
      <c r="L44" s="1" t="str">
        <f t="shared" si="5"/>
        <v/>
      </c>
      <c r="M44" s="1" t="str">
        <f t="shared" si="12"/>
        <v/>
      </c>
      <c r="N44" s="1">
        <f>IFERROR(VLOOKUP(L44,'Dummy Amount'!A40:B104,2,FALSE),0)</f>
        <v>0</v>
      </c>
      <c r="O44" s="1" t="str">
        <f t="shared" si="13"/>
        <v/>
      </c>
      <c r="P44" s="1" t="str">
        <f t="shared" si="14"/>
        <v/>
      </c>
      <c r="Q44" s="1">
        <f>IFERROR(VLOOKUP(P44,'Dummy Amount'!$A$2:$B$66,2,FALSE),0)</f>
        <v>0</v>
      </c>
      <c r="R44" s="1" t="str">
        <f t="shared" si="6"/>
        <v/>
      </c>
      <c r="S44" s="1" t="str">
        <f t="shared" si="15"/>
        <v/>
      </c>
      <c r="T44" s="1" t="str">
        <f t="shared" si="16"/>
        <v/>
      </c>
      <c r="U44" s="1" t="str">
        <f t="shared" si="9"/>
        <v/>
      </c>
      <c r="V44" s="1">
        <f>IFERROR(VLOOKUP(T44,'Dummy Amount'!$A$2:$B$66,2,FALSE),0)</f>
        <v>0</v>
      </c>
      <c r="W44" s="1" t="str">
        <f t="shared" si="10"/>
        <v/>
      </c>
      <c r="X44" s="1">
        <f>IFERROR(VLOOKUP(W44,'Dummy Amount'!$A$2:$B$66,2,FALSE),0)</f>
        <v>0</v>
      </c>
      <c r="Y44" s="1" t="str">
        <f t="shared" si="11"/>
        <v/>
      </c>
      <c r="Z44" s="1"/>
    </row>
    <row r="45" spans="2:26" x14ac:dyDescent="0.3">
      <c r="B45" s="1" t="s">
        <v>57</v>
      </c>
      <c r="C45" s="54"/>
      <c r="D45" s="1"/>
      <c r="E45" s="1"/>
      <c r="F45" s="1" t="s">
        <v>57</v>
      </c>
      <c r="G45" s="1"/>
      <c r="H45" s="1"/>
      <c r="I45" s="1" t="str">
        <f t="shared" si="4"/>
        <v/>
      </c>
      <c r="J45" s="1">
        <f>IFERROR(VLOOKUP(I45,'Dummy Amount'!$A$2:$B$66,2,FALSE),0)</f>
        <v>0</v>
      </c>
      <c r="K45" s="9"/>
      <c r="L45" s="1" t="str">
        <f t="shared" si="5"/>
        <v/>
      </c>
      <c r="M45" s="1" t="str">
        <f t="shared" si="12"/>
        <v/>
      </c>
      <c r="N45" s="1">
        <f>IFERROR(VLOOKUP(L45,'Dummy Amount'!A41:B105,2,FALSE),0)</f>
        <v>0</v>
      </c>
      <c r="O45" s="1" t="str">
        <f t="shared" si="13"/>
        <v/>
      </c>
      <c r="P45" s="1" t="str">
        <f t="shared" si="14"/>
        <v/>
      </c>
      <c r="Q45" s="1">
        <f>IFERROR(VLOOKUP(P45,'Dummy Amount'!$A$2:$B$66,2,FALSE),0)</f>
        <v>0</v>
      </c>
      <c r="R45" s="1" t="str">
        <f t="shared" si="6"/>
        <v/>
      </c>
      <c r="S45" s="1" t="str">
        <f t="shared" si="15"/>
        <v/>
      </c>
      <c r="T45" s="1" t="str">
        <f t="shared" si="16"/>
        <v/>
      </c>
      <c r="U45" s="1" t="str">
        <f t="shared" si="9"/>
        <v/>
      </c>
      <c r="V45" s="1">
        <f>IFERROR(VLOOKUP(T45,'Dummy Amount'!$A$2:$B$66,2,FALSE),0)</f>
        <v>0</v>
      </c>
      <c r="W45" s="1" t="str">
        <f t="shared" si="10"/>
        <v/>
      </c>
      <c r="X45" s="1">
        <f>IFERROR(VLOOKUP(W45,'Dummy Amount'!$A$2:$B$66,2,FALSE),0)</f>
        <v>0</v>
      </c>
      <c r="Y45" s="1" t="str">
        <f t="shared" si="11"/>
        <v/>
      </c>
      <c r="Z45" s="1"/>
    </row>
    <row r="46" spans="2:26" x14ac:dyDescent="0.3">
      <c r="B46" s="1" t="s">
        <v>58</v>
      </c>
      <c r="C46" s="54"/>
      <c r="D46" s="1"/>
      <c r="E46" s="1"/>
      <c r="F46" s="1" t="s">
        <v>58</v>
      </c>
      <c r="G46" s="1"/>
      <c r="H46" s="1"/>
      <c r="I46" s="1" t="str">
        <f t="shared" si="4"/>
        <v/>
      </c>
      <c r="J46" s="1">
        <f>IFERROR(VLOOKUP(I46,'Dummy Amount'!$A$2:$B$66,2,FALSE),0)</f>
        <v>0</v>
      </c>
      <c r="K46" s="9"/>
      <c r="L46" s="1" t="str">
        <f t="shared" si="5"/>
        <v/>
      </c>
      <c r="M46" s="1" t="str">
        <f t="shared" si="12"/>
        <v/>
      </c>
      <c r="N46" s="1">
        <f>IFERROR(VLOOKUP(L46,'Dummy Amount'!A42:B106,2,FALSE),0)</f>
        <v>0</v>
      </c>
      <c r="O46" s="1" t="str">
        <f t="shared" si="13"/>
        <v/>
      </c>
      <c r="P46" s="1" t="str">
        <f t="shared" si="14"/>
        <v/>
      </c>
      <c r="Q46" s="1">
        <f>IFERROR(VLOOKUP(P46,'Dummy Amount'!$A$2:$B$66,2,FALSE),0)</f>
        <v>0</v>
      </c>
      <c r="R46" s="1" t="str">
        <f t="shared" si="6"/>
        <v/>
      </c>
      <c r="S46" s="1" t="str">
        <f t="shared" si="15"/>
        <v/>
      </c>
      <c r="T46" s="1" t="str">
        <f t="shared" si="16"/>
        <v/>
      </c>
      <c r="U46" s="1" t="str">
        <f t="shared" si="9"/>
        <v/>
      </c>
      <c r="V46" s="1">
        <f>IFERROR(VLOOKUP(T46,'Dummy Amount'!$A$2:$B$66,2,FALSE),0)</f>
        <v>0</v>
      </c>
      <c r="W46" s="1" t="str">
        <f t="shared" si="10"/>
        <v/>
      </c>
      <c r="X46" s="1">
        <f>IFERROR(VLOOKUP(W46,'Dummy Amount'!$A$2:$B$66,2,FALSE),0)</f>
        <v>0</v>
      </c>
      <c r="Y46" s="1" t="str">
        <f t="shared" si="11"/>
        <v/>
      </c>
      <c r="Z46" s="1"/>
    </row>
    <row r="47" spans="2:26" x14ac:dyDescent="0.3">
      <c r="B47" s="1" t="s">
        <v>59</v>
      </c>
      <c r="C47" s="54"/>
      <c r="D47" s="1"/>
      <c r="E47" s="1"/>
      <c r="F47" s="1" t="s">
        <v>59</v>
      </c>
      <c r="G47" s="1"/>
      <c r="H47" s="1" t="s">
        <v>59</v>
      </c>
      <c r="I47" s="1" t="str">
        <f t="shared" si="4"/>
        <v/>
      </c>
      <c r="J47" s="1">
        <f>IFERROR(VLOOKUP(I47,'Dummy Amount'!$A$2:$B$66,2,FALSE),0)</f>
        <v>0</v>
      </c>
      <c r="K47" s="9"/>
      <c r="L47" s="1" t="str">
        <f t="shared" si="5"/>
        <v/>
      </c>
      <c r="M47" s="1" t="str">
        <f t="shared" si="12"/>
        <v/>
      </c>
      <c r="N47" s="1">
        <f>IFERROR(VLOOKUP(L47,'Dummy Amount'!A43:B107,2,FALSE),0)</f>
        <v>0</v>
      </c>
      <c r="O47" s="1" t="str">
        <f t="shared" si="13"/>
        <v/>
      </c>
      <c r="P47" s="1" t="str">
        <f t="shared" si="14"/>
        <v>LLO</v>
      </c>
      <c r="Q47" s="1">
        <f>IFERROR(VLOOKUP(P47,'Dummy Amount'!$A$2:$B$66,2,FALSE),0)</f>
        <v>44</v>
      </c>
      <c r="R47" s="1" t="str">
        <f t="shared" si="6"/>
        <v>No</v>
      </c>
      <c r="S47" s="1" t="str">
        <f t="shared" si="15"/>
        <v/>
      </c>
      <c r="T47" s="1" t="str">
        <f t="shared" si="16"/>
        <v/>
      </c>
      <c r="U47" s="1" t="str">
        <f t="shared" si="9"/>
        <v/>
      </c>
      <c r="V47" s="1">
        <f>IFERROR(VLOOKUP(T47,'Dummy Amount'!$A$2:$B$66,2,FALSE),0)</f>
        <v>0</v>
      </c>
      <c r="W47" s="1" t="str">
        <f t="shared" si="10"/>
        <v>LLO</v>
      </c>
      <c r="X47" s="1">
        <f>IFERROR(VLOOKUP(W47,'Dummy Amount'!$A$2:$B$66,2,FALSE),0)</f>
        <v>44</v>
      </c>
      <c r="Y47" s="1" t="str">
        <f t="shared" si="11"/>
        <v>No</v>
      </c>
      <c r="Z47" s="1"/>
    </row>
    <row r="48" spans="2:26" x14ac:dyDescent="0.3">
      <c r="B48" s="1" t="s">
        <v>60</v>
      </c>
      <c r="C48" s="54"/>
      <c r="D48" s="1"/>
      <c r="E48" s="1"/>
      <c r="F48" s="1" t="s">
        <v>60</v>
      </c>
      <c r="G48" s="1"/>
      <c r="H48" s="1"/>
      <c r="I48" s="1" t="str">
        <f t="shared" si="4"/>
        <v/>
      </c>
      <c r="J48" s="1">
        <f>IFERROR(VLOOKUP(I48,'Dummy Amount'!$A$2:$B$66,2,FALSE),0)</f>
        <v>0</v>
      </c>
      <c r="K48" s="9"/>
      <c r="L48" s="1" t="str">
        <f t="shared" si="5"/>
        <v/>
      </c>
      <c r="M48" s="1" t="str">
        <f t="shared" si="12"/>
        <v/>
      </c>
      <c r="N48" s="1">
        <f>IFERROR(VLOOKUP(L48,'Dummy Amount'!A44:B108,2,FALSE),0)</f>
        <v>0</v>
      </c>
      <c r="O48" s="1" t="str">
        <f t="shared" si="13"/>
        <v/>
      </c>
      <c r="P48" s="1" t="str">
        <f t="shared" si="14"/>
        <v/>
      </c>
      <c r="Q48" s="1">
        <f>IFERROR(VLOOKUP(P48,'Dummy Amount'!$A$2:$B$66,2,FALSE),0)</f>
        <v>0</v>
      </c>
      <c r="R48" s="1" t="str">
        <f t="shared" si="6"/>
        <v/>
      </c>
      <c r="S48" s="1" t="str">
        <f t="shared" si="15"/>
        <v/>
      </c>
      <c r="T48" s="1" t="str">
        <f t="shared" si="16"/>
        <v/>
      </c>
      <c r="U48" s="1" t="str">
        <f t="shared" si="9"/>
        <v/>
      </c>
      <c r="V48" s="1">
        <f>IFERROR(VLOOKUP(T48,'Dummy Amount'!$A$2:$B$66,2,FALSE),0)</f>
        <v>0</v>
      </c>
      <c r="W48" s="1" t="str">
        <f t="shared" si="10"/>
        <v/>
      </c>
      <c r="X48" s="1">
        <f>IFERROR(VLOOKUP(W48,'Dummy Amount'!$A$2:$B$66,2,FALSE),0)</f>
        <v>0</v>
      </c>
      <c r="Y48" s="1" t="str">
        <f t="shared" si="11"/>
        <v/>
      </c>
      <c r="Z48" s="1"/>
    </row>
    <row r="49" spans="2:26" x14ac:dyDescent="0.3">
      <c r="B49" s="1" t="s">
        <v>61</v>
      </c>
      <c r="C49" s="54"/>
      <c r="D49" s="1"/>
      <c r="E49" s="1"/>
      <c r="F49" s="1" t="s">
        <v>61</v>
      </c>
      <c r="G49" s="1"/>
      <c r="H49" s="1"/>
      <c r="I49" s="1" t="str">
        <f t="shared" si="4"/>
        <v/>
      </c>
      <c r="J49" s="1">
        <f>IFERROR(VLOOKUP(I49,'Dummy Amount'!$A$2:$B$66,2,FALSE),0)</f>
        <v>0</v>
      </c>
      <c r="K49" s="9"/>
      <c r="L49" s="1" t="str">
        <f t="shared" si="5"/>
        <v/>
      </c>
      <c r="M49" s="1" t="str">
        <f t="shared" si="12"/>
        <v/>
      </c>
      <c r="N49" s="1">
        <f>IFERROR(VLOOKUP(L49,'Dummy Amount'!A45:B109,2,FALSE),0)</f>
        <v>0</v>
      </c>
      <c r="O49" s="1" t="str">
        <f t="shared" si="13"/>
        <v/>
      </c>
      <c r="P49" s="1" t="str">
        <f t="shared" si="14"/>
        <v/>
      </c>
      <c r="Q49" s="1">
        <f>IFERROR(VLOOKUP(P49,'Dummy Amount'!$A$2:$B$66,2,FALSE),0)</f>
        <v>0</v>
      </c>
      <c r="R49" s="1" t="str">
        <f t="shared" si="6"/>
        <v/>
      </c>
      <c r="S49" s="1" t="str">
        <f t="shared" si="15"/>
        <v/>
      </c>
      <c r="T49" s="1" t="str">
        <f t="shared" si="16"/>
        <v/>
      </c>
      <c r="U49" s="1" t="str">
        <f t="shared" si="9"/>
        <v/>
      </c>
      <c r="V49" s="1">
        <f>IFERROR(VLOOKUP(T49,'Dummy Amount'!$A$2:$B$66,2,FALSE),0)</f>
        <v>0</v>
      </c>
      <c r="W49" s="1" t="str">
        <f t="shared" si="10"/>
        <v/>
      </c>
      <c r="X49" s="1">
        <f>IFERROR(VLOOKUP(W49,'Dummy Amount'!$A$2:$B$66,2,FALSE),0)</f>
        <v>0</v>
      </c>
      <c r="Y49" s="1" t="str">
        <f t="shared" si="11"/>
        <v/>
      </c>
      <c r="Z49" s="1"/>
    </row>
    <row r="50" spans="2:26" x14ac:dyDescent="0.3">
      <c r="B50" s="1" t="s">
        <v>62</v>
      </c>
      <c r="C50" s="54"/>
      <c r="D50" s="1"/>
      <c r="E50" s="1"/>
      <c r="F50" s="1" t="s">
        <v>62</v>
      </c>
      <c r="G50" s="1"/>
      <c r="H50" s="1" t="s">
        <v>62</v>
      </c>
      <c r="I50" s="1" t="str">
        <f t="shared" si="4"/>
        <v/>
      </c>
      <c r="J50" s="1">
        <f>IFERROR(VLOOKUP(I50,'Dummy Amount'!$A$2:$B$66,2,FALSE),0)</f>
        <v>0</v>
      </c>
      <c r="K50" s="9"/>
      <c r="L50" s="1" t="str">
        <f t="shared" si="5"/>
        <v/>
      </c>
      <c r="M50" s="1" t="str">
        <f t="shared" si="12"/>
        <v/>
      </c>
      <c r="N50" s="1">
        <f>IFERROR(VLOOKUP(L50,'Dummy Amount'!A46:B110,2,FALSE),0)</f>
        <v>0</v>
      </c>
      <c r="O50" s="1" t="str">
        <f t="shared" si="13"/>
        <v/>
      </c>
      <c r="P50" s="1" t="str">
        <f t="shared" si="14"/>
        <v>MBF</v>
      </c>
      <c r="Q50" s="1">
        <f>IFERROR(VLOOKUP(P50,'Dummy Amount'!$A$2:$B$66,2,FALSE),0)</f>
        <v>66</v>
      </c>
      <c r="R50" s="1" t="str">
        <f t="shared" si="6"/>
        <v>No</v>
      </c>
      <c r="S50" s="1" t="str">
        <f t="shared" si="15"/>
        <v/>
      </c>
      <c r="T50" s="1" t="str">
        <f t="shared" si="16"/>
        <v/>
      </c>
      <c r="U50" s="1" t="str">
        <f t="shared" si="9"/>
        <v/>
      </c>
      <c r="V50" s="1">
        <f>IFERROR(VLOOKUP(T50,'Dummy Amount'!$A$2:$B$66,2,FALSE),0)</f>
        <v>0</v>
      </c>
      <c r="W50" s="1" t="str">
        <f t="shared" si="10"/>
        <v>MBF</v>
      </c>
      <c r="X50" s="1">
        <f>IFERROR(VLOOKUP(W50,'Dummy Amount'!$A$2:$B$66,2,FALSE),0)</f>
        <v>66</v>
      </c>
      <c r="Y50" s="1" t="str">
        <f t="shared" si="11"/>
        <v>No</v>
      </c>
      <c r="Z50" s="1"/>
    </row>
    <row r="51" spans="2:26" x14ac:dyDescent="0.3">
      <c r="B51" s="1" t="s">
        <v>2</v>
      </c>
      <c r="C51" s="54"/>
      <c r="D51" s="1"/>
      <c r="E51" s="1"/>
      <c r="F51" s="1" t="s">
        <v>2</v>
      </c>
      <c r="G51" s="1" t="s">
        <v>2</v>
      </c>
      <c r="H51" s="1"/>
      <c r="I51" s="1" t="str">
        <f t="shared" si="4"/>
        <v/>
      </c>
      <c r="J51" s="1">
        <f>IFERROR(VLOOKUP(I51,'Dummy Amount'!$A$2:$B$66,2,FALSE),0)</f>
        <v>0</v>
      </c>
      <c r="K51" s="9" t="s">
        <v>2</v>
      </c>
      <c r="L51" s="1" t="str">
        <f t="shared" si="5"/>
        <v>NEO</v>
      </c>
      <c r="M51" s="1" t="str">
        <f t="shared" si="12"/>
        <v>Inclusive</v>
      </c>
      <c r="N51" s="1">
        <f>IFERROR(VLOOKUP(L51,'Dummy Amount'!A47:B111,2,FALSE),0)</f>
        <v>50</v>
      </c>
      <c r="O51" s="1" t="str">
        <f t="shared" si="13"/>
        <v>No</v>
      </c>
      <c r="P51" s="1" t="str">
        <f t="shared" si="14"/>
        <v/>
      </c>
      <c r="Q51" s="1">
        <f>IFERROR(VLOOKUP(P51,'Dummy Amount'!$A$2:$B$66,2,FALSE),0)</f>
        <v>0</v>
      </c>
      <c r="R51" s="1" t="str">
        <f t="shared" si="6"/>
        <v/>
      </c>
      <c r="S51" s="1" t="str">
        <f t="shared" si="15"/>
        <v/>
      </c>
      <c r="T51" s="1" t="str">
        <f t="shared" si="16"/>
        <v>NEO</v>
      </c>
      <c r="U51" s="1" t="str">
        <f t="shared" si="9"/>
        <v>Inclusive</v>
      </c>
      <c r="V51" s="1">
        <f>IFERROR(VLOOKUP(T51,'Dummy Amount'!$A$2:$B$66,2,FALSE),0)</f>
        <v>50</v>
      </c>
      <c r="W51" s="1" t="str">
        <f t="shared" si="10"/>
        <v/>
      </c>
      <c r="X51" s="1">
        <f>IFERROR(VLOOKUP(W51,'Dummy Amount'!$A$2:$B$66,2,FALSE),0)</f>
        <v>0</v>
      </c>
      <c r="Y51" s="1" t="str">
        <f t="shared" si="11"/>
        <v/>
      </c>
      <c r="Z51" s="1"/>
    </row>
    <row r="52" spans="2:26" x14ac:dyDescent="0.3">
      <c r="B52" s="1" t="s">
        <v>0</v>
      </c>
      <c r="C52" s="54"/>
      <c r="D52" s="1" t="s">
        <v>0</v>
      </c>
      <c r="E52" s="1"/>
      <c r="F52" s="1"/>
      <c r="G52" s="1" t="s">
        <v>0</v>
      </c>
      <c r="H52" s="1" t="s">
        <v>0</v>
      </c>
      <c r="I52" s="1" t="str">
        <f t="shared" si="4"/>
        <v>OBS</v>
      </c>
      <c r="J52" s="1">
        <f>IFERROR(VLOOKUP(I52,'Dummy Amount'!$A$2:$B$66,2,FALSE),0)</f>
        <v>77</v>
      </c>
      <c r="K52" s="9" t="s">
        <v>0</v>
      </c>
      <c r="L52" s="1" t="str">
        <f t="shared" si="5"/>
        <v>OBS</v>
      </c>
      <c r="M52" s="1" t="str">
        <f t="shared" si="12"/>
        <v>Subject/Fixed</v>
      </c>
      <c r="N52" s="1">
        <f>IFERROR(VLOOKUP(L52,'Dummy Amount'!A48:B112,2,FALSE),0)</f>
        <v>77</v>
      </c>
      <c r="O52" s="1" t="str">
        <f t="shared" si="13"/>
        <v>No</v>
      </c>
      <c r="P52" s="1" t="str">
        <f t="shared" si="14"/>
        <v/>
      </c>
      <c r="Q52" s="1">
        <f>IFERROR(VLOOKUP(P52,'Dummy Amount'!$A$2:$B$66,2,FALSE),0)</f>
        <v>0</v>
      </c>
      <c r="R52" s="1" t="str">
        <f t="shared" si="6"/>
        <v/>
      </c>
      <c r="S52" s="1" t="str">
        <f t="shared" si="15"/>
        <v>OBS</v>
      </c>
      <c r="T52" s="1" t="str">
        <f t="shared" si="16"/>
        <v>OBS</v>
      </c>
      <c r="U52" s="1" t="str">
        <f t="shared" si="9"/>
        <v>Subject/Fixed</v>
      </c>
      <c r="V52" s="1">
        <f>IFERROR(VLOOKUP(T52,'Dummy Amount'!$A$2:$B$66,2,FALSE),0)</f>
        <v>77</v>
      </c>
      <c r="W52" s="1" t="str">
        <f t="shared" si="10"/>
        <v/>
      </c>
      <c r="X52" s="1">
        <f>IFERROR(VLOOKUP(W52,'Dummy Amount'!$A$2:$B$66,2,FALSE),0)</f>
        <v>0</v>
      </c>
      <c r="Y52" s="1" t="str">
        <f t="shared" si="11"/>
        <v/>
      </c>
      <c r="Z52" s="1"/>
    </row>
    <row r="53" spans="2:26" x14ac:dyDescent="0.3">
      <c r="B53" s="1" t="s">
        <v>63</v>
      </c>
      <c r="C53" s="54"/>
      <c r="D53" s="1"/>
      <c r="E53" s="1"/>
      <c r="F53" s="1" t="s">
        <v>63</v>
      </c>
      <c r="G53" s="1"/>
      <c r="H53" s="1" t="s">
        <v>63</v>
      </c>
      <c r="I53" s="1" t="str">
        <f t="shared" si="4"/>
        <v/>
      </c>
      <c r="J53" s="1">
        <f>IFERROR(VLOOKUP(I53,'Dummy Amount'!$A$2:$B$66,2,FALSE),0)</f>
        <v>0</v>
      </c>
      <c r="K53" s="9"/>
      <c r="L53" s="1" t="str">
        <f t="shared" si="5"/>
        <v/>
      </c>
      <c r="M53" s="1" t="str">
        <f t="shared" si="12"/>
        <v/>
      </c>
      <c r="N53" s="1">
        <f>IFERROR(VLOOKUP(L53,'Dummy Amount'!A49:B113,2,FALSE),0)</f>
        <v>0</v>
      </c>
      <c r="O53" s="1" t="str">
        <f t="shared" si="13"/>
        <v/>
      </c>
      <c r="P53" s="1" t="str">
        <f t="shared" si="14"/>
        <v>OCR</v>
      </c>
      <c r="Q53" s="1">
        <f>IFERROR(VLOOKUP(P53,'Dummy Amount'!$A$2:$B$66,2,FALSE),0)</f>
        <v>88</v>
      </c>
      <c r="R53" s="1" t="str">
        <f t="shared" si="6"/>
        <v>No</v>
      </c>
      <c r="S53" s="1" t="str">
        <f t="shared" si="15"/>
        <v/>
      </c>
      <c r="T53" s="1" t="str">
        <f t="shared" si="16"/>
        <v/>
      </c>
      <c r="U53" s="1" t="str">
        <f t="shared" si="9"/>
        <v/>
      </c>
      <c r="V53" s="1">
        <f>IFERROR(VLOOKUP(T53,'Dummy Amount'!$A$2:$B$66,2,FALSE),0)</f>
        <v>0</v>
      </c>
      <c r="W53" s="1" t="str">
        <f t="shared" si="10"/>
        <v>OCR</v>
      </c>
      <c r="X53" s="1">
        <f>IFERROR(VLOOKUP(W53,'Dummy Amount'!$A$2:$B$66,2,FALSE),0)</f>
        <v>88</v>
      </c>
      <c r="Y53" s="1" t="str">
        <f>IF(W53="","",IF(T53="","No",IF(U53="Inclusive","No","Yes")))</f>
        <v>No</v>
      </c>
      <c r="Z53" s="1"/>
    </row>
    <row r="54" spans="2:26" x14ac:dyDescent="0.3">
      <c r="B54" s="1"/>
      <c r="C54" s="54"/>
      <c r="D54" s="1"/>
      <c r="E54" s="1"/>
      <c r="F54" s="1"/>
      <c r="G54" s="1"/>
      <c r="H54" s="1"/>
      <c r="I54" s="1" t="str">
        <f t="shared" si="4"/>
        <v/>
      </c>
      <c r="J54" s="1">
        <f>IFERROR(VLOOKUP(I54,'Dummy Amount'!$A$2:$B$66,2,FALSE),0)</f>
        <v>0</v>
      </c>
      <c r="K54" s="9" t="s">
        <v>7</v>
      </c>
      <c r="L54" s="1" t="str">
        <f t="shared" si="5"/>
        <v>PCT</v>
      </c>
      <c r="M54" s="1" t="str">
        <f t="shared" si="12"/>
        <v>Inclusive</v>
      </c>
      <c r="N54" s="1">
        <f>IFERROR(VLOOKUP(L54,'Dummy Amount'!A50:B114,2,FALSE),0)</f>
        <v>50</v>
      </c>
      <c r="O54" s="1" t="str">
        <f t="shared" si="13"/>
        <v>No</v>
      </c>
      <c r="P54" s="1" t="str">
        <f t="shared" si="14"/>
        <v/>
      </c>
      <c r="Q54" s="1">
        <f>IFERROR(VLOOKUP(P54,'Dummy Amount'!$A$2:$B$66,2,FALSE),0)</f>
        <v>0</v>
      </c>
      <c r="R54" s="1" t="str">
        <f t="shared" si="6"/>
        <v/>
      </c>
      <c r="S54" s="1" t="str">
        <f t="shared" si="15"/>
        <v/>
      </c>
      <c r="T54" s="1" t="str">
        <f t="shared" si="16"/>
        <v>PCT</v>
      </c>
      <c r="U54" s="1" t="str">
        <f t="shared" si="9"/>
        <v>Inclusive</v>
      </c>
      <c r="V54" s="1">
        <f>IFERROR(VLOOKUP(T54,'Dummy Amount'!$A$2:$B$66,2,FALSE),0)</f>
        <v>50</v>
      </c>
      <c r="W54" s="1" t="str">
        <f t="shared" si="10"/>
        <v/>
      </c>
      <c r="X54" s="1">
        <f>IFERROR(VLOOKUP(W54,'Dummy Amount'!$A$2:$B$66,2,FALSE),0)</f>
        <v>0</v>
      </c>
      <c r="Y54" s="1" t="str">
        <f t="shared" si="11"/>
        <v/>
      </c>
      <c r="Z54" s="1"/>
    </row>
    <row r="55" spans="2:26" x14ac:dyDescent="0.3">
      <c r="B55" s="1" t="s">
        <v>22</v>
      </c>
      <c r="C55" s="54"/>
      <c r="D55" s="1"/>
      <c r="E55" s="1"/>
      <c r="F55" s="1" t="s">
        <v>22</v>
      </c>
      <c r="G55" s="1"/>
      <c r="H55" s="1"/>
      <c r="I55" s="1" t="str">
        <f t="shared" si="4"/>
        <v/>
      </c>
      <c r="J55" s="1">
        <f>IFERROR(VLOOKUP(I55,'Dummy Amount'!$A$2:$B$66,2,FALSE),0)</f>
        <v>0</v>
      </c>
      <c r="K55" s="9" t="s">
        <v>22</v>
      </c>
      <c r="L55" s="1" t="str">
        <f t="shared" si="5"/>
        <v>PSA</v>
      </c>
      <c r="M55" s="1" t="str">
        <f t="shared" si="12"/>
        <v>Inclusive</v>
      </c>
      <c r="N55" s="1">
        <f>IFERROR(VLOOKUP(L55,'Dummy Amount'!A51:B115,2,FALSE),0)</f>
        <v>50</v>
      </c>
      <c r="O55" s="1" t="str">
        <f t="shared" si="13"/>
        <v>No</v>
      </c>
      <c r="P55" s="1" t="str">
        <f t="shared" si="14"/>
        <v/>
      </c>
      <c r="Q55" s="1">
        <f>IFERROR(VLOOKUP(P55,'Dummy Amount'!$A$2:$B$66,2,FALSE),0)</f>
        <v>0</v>
      </c>
      <c r="R55" s="1" t="str">
        <f t="shared" si="6"/>
        <v/>
      </c>
      <c r="S55" s="1" t="str">
        <f t="shared" si="15"/>
        <v/>
      </c>
      <c r="T55" s="1" t="str">
        <f t="shared" si="16"/>
        <v>PSA</v>
      </c>
      <c r="U55" s="1" t="str">
        <f t="shared" si="9"/>
        <v>Inclusive</v>
      </c>
      <c r="V55" s="1">
        <f>IFERROR(VLOOKUP(T55,'Dummy Amount'!$A$2:$B$66,2,FALSE),0)</f>
        <v>50</v>
      </c>
      <c r="W55" s="1" t="str">
        <f t="shared" si="10"/>
        <v/>
      </c>
      <c r="X55" s="1">
        <f>IFERROR(VLOOKUP(W55,'Dummy Amount'!$A$2:$B$66,2,FALSE),0)</f>
        <v>0</v>
      </c>
      <c r="Y55" s="1" t="str">
        <f t="shared" si="11"/>
        <v/>
      </c>
      <c r="Z55" s="1"/>
    </row>
    <row r="56" spans="2:26" x14ac:dyDescent="0.3">
      <c r="B56" s="1" t="s">
        <v>3</v>
      </c>
      <c r="C56" s="54"/>
      <c r="D56" s="1"/>
      <c r="E56" s="1"/>
      <c r="F56" s="1" t="s">
        <v>3</v>
      </c>
      <c r="G56" s="1"/>
      <c r="H56" s="1"/>
      <c r="I56" s="1" t="str">
        <f t="shared" si="4"/>
        <v/>
      </c>
      <c r="J56" s="1">
        <f>IFERROR(VLOOKUP(I56,'Dummy Amount'!$A$2:$B$66,2,FALSE),0)</f>
        <v>0</v>
      </c>
      <c r="K56" s="9" t="s">
        <v>3</v>
      </c>
      <c r="L56" s="1" t="str">
        <f t="shared" si="5"/>
        <v>PSS</v>
      </c>
      <c r="M56" s="1" t="str">
        <f t="shared" si="12"/>
        <v>Inclusive</v>
      </c>
      <c r="N56" s="1">
        <f>IFERROR(VLOOKUP(L56,'Dummy Amount'!A52:B116,2,FALSE),0)</f>
        <v>50</v>
      </c>
      <c r="O56" s="1" t="str">
        <f t="shared" si="13"/>
        <v>No</v>
      </c>
      <c r="P56" s="1" t="str">
        <f t="shared" si="14"/>
        <v/>
      </c>
      <c r="Q56" s="1">
        <f>IFERROR(VLOOKUP(P56,'Dummy Amount'!$A$2:$B$66,2,FALSE),0)</f>
        <v>0</v>
      </c>
      <c r="R56" s="1" t="str">
        <f t="shared" si="6"/>
        <v/>
      </c>
      <c r="S56" s="1" t="str">
        <f t="shared" si="15"/>
        <v/>
      </c>
      <c r="T56" s="1" t="str">
        <f t="shared" si="16"/>
        <v>PSS</v>
      </c>
      <c r="U56" s="1" t="str">
        <f t="shared" si="9"/>
        <v>Inclusive</v>
      </c>
      <c r="V56" s="1">
        <f>IFERROR(VLOOKUP(T56,'Dummy Amount'!$A$2:$B$66,2,FALSE),0)</f>
        <v>50</v>
      </c>
      <c r="W56" s="1" t="str">
        <f t="shared" si="10"/>
        <v/>
      </c>
      <c r="X56" s="1">
        <f>IFERROR(VLOOKUP(W56,'Dummy Amount'!$A$2:$B$66,2,FALSE),0)</f>
        <v>0</v>
      </c>
      <c r="Y56" s="1" t="str">
        <f t="shared" si="11"/>
        <v/>
      </c>
      <c r="Z56" s="1"/>
    </row>
    <row r="57" spans="2:26" x14ac:dyDescent="0.3">
      <c r="B57" s="1" t="s">
        <v>10</v>
      </c>
      <c r="C57" s="54"/>
      <c r="D57" s="1"/>
      <c r="E57" s="1"/>
      <c r="F57" s="1" t="s">
        <v>10</v>
      </c>
      <c r="G57" s="1"/>
      <c r="H57" s="1"/>
      <c r="I57" s="1" t="str">
        <f t="shared" si="4"/>
        <v/>
      </c>
      <c r="J57" s="1">
        <f>IFERROR(VLOOKUP(I57,'Dummy Amount'!$A$2:$B$66,2,FALSE),0)</f>
        <v>0</v>
      </c>
      <c r="K57" s="9" t="s">
        <v>10</v>
      </c>
      <c r="L57" s="1" t="str">
        <f t="shared" si="5"/>
        <v>PUC</v>
      </c>
      <c r="M57" s="1" t="str">
        <f t="shared" si="12"/>
        <v>Inclusive</v>
      </c>
      <c r="N57" s="1">
        <f>IFERROR(VLOOKUP(L57,'Dummy Amount'!A53:B117,2,FALSE),0)</f>
        <v>50</v>
      </c>
      <c r="O57" s="1" t="str">
        <f t="shared" si="13"/>
        <v>No</v>
      </c>
      <c r="P57" s="1" t="str">
        <f t="shared" si="14"/>
        <v/>
      </c>
      <c r="Q57" s="1">
        <f>IFERROR(VLOOKUP(P57,'Dummy Amount'!$A$2:$B$66,2,FALSE),0)</f>
        <v>0</v>
      </c>
      <c r="R57" s="1" t="str">
        <f t="shared" si="6"/>
        <v/>
      </c>
      <c r="S57" s="1" t="str">
        <f t="shared" si="15"/>
        <v/>
      </c>
      <c r="T57" s="1" t="str">
        <f t="shared" si="16"/>
        <v>PUC</v>
      </c>
      <c r="U57" s="1" t="str">
        <f t="shared" si="9"/>
        <v>Inclusive</v>
      </c>
      <c r="V57" s="1">
        <f>IFERROR(VLOOKUP(T57,'Dummy Amount'!$A$2:$B$66,2,FALSE),0)</f>
        <v>50</v>
      </c>
      <c r="W57" s="1" t="str">
        <f t="shared" si="10"/>
        <v/>
      </c>
      <c r="X57" s="1">
        <f>IFERROR(VLOOKUP(W57,'Dummy Amount'!$A$2:$B$66,2,FALSE),0)</f>
        <v>0</v>
      </c>
      <c r="Y57" s="1" t="str">
        <f t="shared" si="11"/>
        <v/>
      </c>
      <c r="Z57" s="1"/>
    </row>
    <row r="58" spans="2:26" x14ac:dyDescent="0.3">
      <c r="B58" s="1" t="s">
        <v>64</v>
      </c>
      <c r="C58" s="54"/>
      <c r="D58" s="1"/>
      <c r="E58" s="1"/>
      <c r="F58" s="1" t="s">
        <v>64</v>
      </c>
      <c r="G58" s="1"/>
      <c r="H58" s="1"/>
      <c r="I58" s="1" t="str">
        <f t="shared" si="4"/>
        <v/>
      </c>
      <c r="J58" s="1">
        <f>IFERROR(VLOOKUP(I58,'Dummy Amount'!$A$2:$B$66,2,FALSE),0)</f>
        <v>0</v>
      </c>
      <c r="K58" s="9"/>
      <c r="L58" s="1" t="str">
        <f t="shared" si="5"/>
        <v/>
      </c>
      <c r="M58" s="1" t="str">
        <f t="shared" si="12"/>
        <v/>
      </c>
      <c r="N58" s="1">
        <f>IFERROR(VLOOKUP(L58,'Dummy Amount'!A54:B118,2,FALSE),0)</f>
        <v>0</v>
      </c>
      <c r="O58" s="1" t="str">
        <f t="shared" si="13"/>
        <v/>
      </c>
      <c r="P58" s="1" t="str">
        <f t="shared" si="14"/>
        <v/>
      </c>
      <c r="Q58" s="1">
        <f>IFERROR(VLOOKUP(P58,'Dummy Amount'!$A$2:$B$66,2,FALSE),0)</f>
        <v>0</v>
      </c>
      <c r="R58" s="1" t="str">
        <f t="shared" si="6"/>
        <v/>
      </c>
      <c r="S58" s="1" t="str">
        <f t="shared" si="15"/>
        <v/>
      </c>
      <c r="T58" s="1" t="str">
        <f t="shared" si="16"/>
        <v/>
      </c>
      <c r="U58" s="1" t="str">
        <f t="shared" si="9"/>
        <v/>
      </c>
      <c r="V58" s="1">
        <f>IFERROR(VLOOKUP(T58,'Dummy Amount'!$A$2:$B$66,2,FALSE),0)</f>
        <v>0</v>
      </c>
      <c r="W58" s="1" t="str">
        <f t="shared" si="10"/>
        <v/>
      </c>
      <c r="X58" s="1">
        <f>IFERROR(VLOOKUP(W58,'Dummy Amount'!$A$2:$B$66,2,FALSE),0)</f>
        <v>0</v>
      </c>
      <c r="Y58" s="1" t="str">
        <f t="shared" si="11"/>
        <v/>
      </c>
      <c r="Z58" s="1"/>
    </row>
    <row r="59" spans="2:26" x14ac:dyDescent="0.3">
      <c r="B59" s="1" t="s">
        <v>8</v>
      </c>
      <c r="C59" s="54"/>
      <c r="D59" s="1"/>
      <c r="E59" s="1"/>
      <c r="F59" s="1" t="s">
        <v>8</v>
      </c>
      <c r="G59" s="1" t="s">
        <v>8</v>
      </c>
      <c r="H59" s="1" t="s">
        <v>8</v>
      </c>
      <c r="I59" s="1" t="str">
        <f t="shared" si="4"/>
        <v/>
      </c>
      <c r="J59" s="1">
        <f>IFERROR(VLOOKUP(I59,'Dummy Amount'!$A$2:$B$66,2,FALSE),0)</f>
        <v>0</v>
      </c>
      <c r="K59" s="9" t="s">
        <v>8</v>
      </c>
      <c r="L59" s="1" t="str">
        <f t="shared" si="5"/>
        <v>SCT</v>
      </c>
      <c r="M59" s="1" t="str">
        <f t="shared" si="12"/>
        <v>Inclusive</v>
      </c>
      <c r="N59" s="1">
        <f>IFERROR(VLOOKUP(L59,'Dummy Amount'!A55:B119,2,FALSE),0)</f>
        <v>50</v>
      </c>
      <c r="O59" s="1" t="str">
        <f t="shared" si="13"/>
        <v>No</v>
      </c>
      <c r="P59" s="1" t="str">
        <f t="shared" si="14"/>
        <v/>
      </c>
      <c r="Q59" s="1">
        <f>IFERROR(VLOOKUP(P59,'Dummy Amount'!$A$2:$B$66,2,FALSE),0)</f>
        <v>0</v>
      </c>
      <c r="R59" s="1" t="str">
        <f t="shared" si="6"/>
        <v/>
      </c>
      <c r="S59" s="1" t="str">
        <f t="shared" si="15"/>
        <v/>
      </c>
      <c r="T59" s="1" t="str">
        <f t="shared" si="16"/>
        <v>SCT</v>
      </c>
      <c r="U59" s="1" t="str">
        <f t="shared" si="9"/>
        <v>Inclusive</v>
      </c>
      <c r="V59" s="1">
        <f>IFERROR(VLOOKUP(T59,'Dummy Amount'!$A$2:$B$66,2,FALSE),0)</f>
        <v>50</v>
      </c>
      <c r="W59" s="1" t="str">
        <f t="shared" si="10"/>
        <v/>
      </c>
      <c r="X59" s="1">
        <f>IFERROR(VLOOKUP(W59,'Dummy Amount'!$A$2:$B$66,2,FALSE),0)</f>
        <v>0</v>
      </c>
      <c r="Y59" s="1" t="str">
        <f t="shared" si="11"/>
        <v/>
      </c>
      <c r="Z59" s="1"/>
    </row>
    <row r="60" spans="2:26" x14ac:dyDescent="0.3">
      <c r="B60" s="1"/>
      <c r="C60" s="54"/>
      <c r="D60" s="1"/>
      <c r="E60" s="1"/>
      <c r="F60" s="1"/>
      <c r="G60" s="1"/>
      <c r="H60" s="1"/>
      <c r="I60" s="1" t="str">
        <f t="shared" si="4"/>
        <v/>
      </c>
      <c r="J60" s="1">
        <f>IFERROR(VLOOKUP(I60,'Dummy Amount'!$A$2:$B$66,2,FALSE),0)</f>
        <v>0</v>
      </c>
      <c r="K60" s="9" t="s">
        <v>14</v>
      </c>
      <c r="L60" s="1" t="str">
        <f t="shared" si="5"/>
        <v>SLF</v>
      </c>
      <c r="M60" s="1" t="str">
        <f t="shared" si="12"/>
        <v>Inclusive</v>
      </c>
      <c r="N60" s="1">
        <f>IFERROR(VLOOKUP(L60,'Dummy Amount'!A56:B120,2,FALSE),0)</f>
        <v>50</v>
      </c>
      <c r="O60" s="1" t="str">
        <f t="shared" si="13"/>
        <v>No</v>
      </c>
      <c r="P60" s="1" t="str">
        <f t="shared" si="14"/>
        <v/>
      </c>
      <c r="Q60" s="1">
        <f>IFERROR(VLOOKUP(P60,'Dummy Amount'!$A$2:$B$66,2,FALSE),0)</f>
        <v>0</v>
      </c>
      <c r="R60" s="1" t="str">
        <f t="shared" si="6"/>
        <v/>
      </c>
      <c r="S60" s="1" t="str">
        <f t="shared" si="15"/>
        <v/>
      </c>
      <c r="T60" s="1" t="str">
        <f t="shared" si="16"/>
        <v>SLF</v>
      </c>
      <c r="U60" s="1" t="str">
        <f t="shared" si="9"/>
        <v>Inclusive</v>
      </c>
      <c r="V60" s="1">
        <f>IFERROR(VLOOKUP(T60,'Dummy Amount'!$A$2:$B$66,2,FALSE),0)</f>
        <v>50</v>
      </c>
      <c r="W60" s="1" t="str">
        <f t="shared" si="10"/>
        <v/>
      </c>
      <c r="X60" s="1">
        <f>IFERROR(VLOOKUP(W60,'Dummy Amount'!$A$2:$B$66,2,FALSE),0)</f>
        <v>0</v>
      </c>
      <c r="Y60" s="1" t="str">
        <f t="shared" si="11"/>
        <v/>
      </c>
      <c r="Z60" s="1"/>
    </row>
    <row r="61" spans="2:26" x14ac:dyDescent="0.3">
      <c r="B61" s="1" t="s">
        <v>6</v>
      </c>
      <c r="C61" s="54"/>
      <c r="D61" s="1" t="s">
        <v>6</v>
      </c>
      <c r="E61" s="1"/>
      <c r="F61" s="1"/>
      <c r="G61" s="1"/>
      <c r="H61" s="1"/>
      <c r="I61" s="1" t="str">
        <f t="shared" si="4"/>
        <v/>
      </c>
      <c r="J61" s="1">
        <f>IFERROR(VLOOKUP(I61,'Dummy Amount'!$A$2:$B$66,2,FALSE),0)</f>
        <v>0</v>
      </c>
      <c r="K61" s="9" t="s">
        <v>6</v>
      </c>
      <c r="L61" s="1" t="str">
        <f t="shared" si="5"/>
        <v>THD</v>
      </c>
      <c r="M61" s="1" t="str">
        <f t="shared" si="12"/>
        <v>Inclusive</v>
      </c>
      <c r="N61" s="1">
        <f>IFERROR(VLOOKUP(L61,'Dummy Amount'!A57:B121,2,FALSE),0)</f>
        <v>50</v>
      </c>
      <c r="O61" s="1" t="str">
        <f t="shared" si="13"/>
        <v>No</v>
      </c>
      <c r="P61" s="1" t="str">
        <f t="shared" si="14"/>
        <v/>
      </c>
      <c r="Q61" s="1">
        <f>IFERROR(VLOOKUP(P61,'Dummy Amount'!$A$2:$B$66,2,FALSE),0)</f>
        <v>0</v>
      </c>
      <c r="R61" s="1" t="str">
        <f t="shared" si="6"/>
        <v/>
      </c>
      <c r="S61" s="1" t="str">
        <f t="shared" si="15"/>
        <v/>
      </c>
      <c r="T61" s="1" t="str">
        <f t="shared" si="16"/>
        <v>THD</v>
      </c>
      <c r="U61" s="1" t="str">
        <f t="shared" si="9"/>
        <v>Inclusive</v>
      </c>
      <c r="V61" s="1">
        <f>IFERROR(VLOOKUP(T61,'Dummy Amount'!$A$2:$B$66,2,FALSE),0)</f>
        <v>50</v>
      </c>
      <c r="W61" s="1" t="str">
        <f t="shared" si="10"/>
        <v/>
      </c>
      <c r="X61" s="1">
        <f>IFERROR(VLOOKUP(W61,'Dummy Amount'!$A$2:$B$66,2,FALSE),0)</f>
        <v>0</v>
      </c>
      <c r="Y61" s="1" t="str">
        <f t="shared" si="11"/>
        <v/>
      </c>
      <c r="Z61" s="1"/>
    </row>
    <row r="62" spans="2:26" x14ac:dyDescent="0.3">
      <c r="B62" s="1" t="s">
        <v>4</v>
      </c>
      <c r="C62" s="54"/>
      <c r="D62" s="1"/>
      <c r="E62" s="1"/>
      <c r="F62" s="1" t="s">
        <v>4</v>
      </c>
      <c r="G62" s="1" t="s">
        <v>4</v>
      </c>
      <c r="H62" s="1" t="s">
        <v>4</v>
      </c>
      <c r="I62" s="1" t="str">
        <f t="shared" si="4"/>
        <v/>
      </c>
      <c r="J62" s="1">
        <f>IFERROR(VLOOKUP(I62,'Dummy Amount'!$A$2:$B$66,2,FALSE),0)</f>
        <v>0</v>
      </c>
      <c r="K62" s="9" t="s">
        <v>4</v>
      </c>
      <c r="L62" s="1" t="str">
        <f t="shared" si="5"/>
        <v>THL</v>
      </c>
      <c r="M62" s="1" t="str">
        <f t="shared" si="12"/>
        <v>Inclusive</v>
      </c>
      <c r="N62" s="1">
        <f>IFERROR(VLOOKUP(L62,'Dummy Amount'!A58:B122,2,FALSE),0)</f>
        <v>50</v>
      </c>
      <c r="O62" s="1" t="str">
        <f t="shared" si="13"/>
        <v>No</v>
      </c>
      <c r="P62" s="1" t="str">
        <f t="shared" si="14"/>
        <v/>
      </c>
      <c r="Q62" s="1">
        <f>IFERROR(VLOOKUP(P62,'Dummy Amount'!$A$2:$B$66,2,FALSE),0)</f>
        <v>0</v>
      </c>
      <c r="R62" s="1" t="str">
        <f t="shared" si="6"/>
        <v/>
      </c>
      <c r="S62" s="1" t="str">
        <f t="shared" si="15"/>
        <v/>
      </c>
      <c r="T62" s="1" t="str">
        <f t="shared" si="16"/>
        <v>THL</v>
      </c>
      <c r="U62" s="1" t="str">
        <f t="shared" si="9"/>
        <v>Inclusive</v>
      </c>
      <c r="V62" s="1">
        <f>IFERROR(VLOOKUP(T62,'Dummy Amount'!$A$2:$B$66,2,FALSE),0)</f>
        <v>50</v>
      </c>
      <c r="W62" s="1" t="str">
        <f t="shared" si="10"/>
        <v/>
      </c>
      <c r="X62" s="1">
        <f>IFERROR(VLOOKUP(W62,'Dummy Amount'!$A$2:$B$66,2,FALSE),0)</f>
        <v>0</v>
      </c>
      <c r="Y62" s="1" t="str">
        <f t="shared" si="11"/>
        <v/>
      </c>
      <c r="Z62" s="1"/>
    </row>
    <row r="63" spans="2:26" x14ac:dyDescent="0.3">
      <c r="B63" s="1" t="s">
        <v>65</v>
      </c>
      <c r="C63" s="54"/>
      <c r="D63" s="1"/>
      <c r="E63" s="1"/>
      <c r="F63" s="1" t="s">
        <v>65</v>
      </c>
      <c r="G63" s="1" t="s">
        <v>65</v>
      </c>
      <c r="H63" s="1" t="s">
        <v>65</v>
      </c>
      <c r="I63" s="1" t="str">
        <f t="shared" si="4"/>
        <v/>
      </c>
      <c r="J63" s="1">
        <f>IFERROR(VLOOKUP(I63,'Dummy Amount'!$A$2:$B$66,2,FALSE),0)</f>
        <v>0</v>
      </c>
      <c r="K63" s="9"/>
      <c r="L63" s="1" t="str">
        <f t="shared" si="5"/>
        <v/>
      </c>
      <c r="M63" s="1" t="str">
        <f t="shared" si="12"/>
        <v/>
      </c>
      <c r="N63" s="1">
        <f>IFERROR(VLOOKUP(L63,'Dummy Amount'!A59:B123,2,FALSE),0)</f>
        <v>0</v>
      </c>
      <c r="O63" s="1" t="str">
        <f t="shared" si="13"/>
        <v/>
      </c>
      <c r="P63" s="1" t="str">
        <f t="shared" si="14"/>
        <v/>
      </c>
      <c r="Q63" s="1">
        <f>IFERROR(VLOOKUP(P63,'Dummy Amount'!$A$2:$B$66,2,FALSE),0)</f>
        <v>0</v>
      </c>
      <c r="R63" s="1" t="str">
        <f t="shared" si="6"/>
        <v/>
      </c>
      <c r="S63" s="1" t="str">
        <f t="shared" si="15"/>
        <v/>
      </c>
      <c r="T63" s="1" t="str">
        <f t="shared" si="16"/>
        <v/>
      </c>
      <c r="U63" s="1" t="str">
        <f t="shared" si="9"/>
        <v/>
      </c>
      <c r="V63" s="1">
        <f>IFERROR(VLOOKUP(T63,'Dummy Amount'!$A$2:$B$66,2,FALSE),0)</f>
        <v>0</v>
      </c>
      <c r="W63" s="1" t="str">
        <f t="shared" si="10"/>
        <v/>
      </c>
      <c r="X63" s="1">
        <f>IFERROR(VLOOKUP(W63,'Dummy Amount'!$A$2:$B$66,2,FALSE),0)</f>
        <v>0</v>
      </c>
      <c r="Y63" s="1" t="str">
        <f t="shared" si="11"/>
        <v/>
      </c>
      <c r="Z63" s="1"/>
    </row>
    <row r="64" spans="2:26" x14ac:dyDescent="0.3">
      <c r="B64" s="1" t="s">
        <v>66</v>
      </c>
      <c r="C64" s="54"/>
      <c r="D64" s="1"/>
      <c r="E64" s="1"/>
      <c r="F64" s="1" t="s">
        <v>66</v>
      </c>
      <c r="G64" s="1"/>
      <c r="H64" s="1"/>
      <c r="I64" s="1" t="str">
        <f t="shared" si="4"/>
        <v/>
      </c>
      <c r="J64" s="1">
        <f>IFERROR(VLOOKUP(I64,'Dummy Amount'!$A$2:$B$66,2,FALSE),0)</f>
        <v>0</v>
      </c>
      <c r="K64" s="9"/>
      <c r="L64" s="1" t="str">
        <f t="shared" si="5"/>
        <v/>
      </c>
      <c r="M64" s="1" t="str">
        <f t="shared" si="12"/>
        <v/>
      </c>
      <c r="N64" s="1">
        <f>IFERROR(VLOOKUP(L64,'Dummy Amount'!A60:B124,2,FALSE),0)</f>
        <v>0</v>
      </c>
      <c r="O64" s="1" t="str">
        <f t="shared" si="13"/>
        <v/>
      </c>
      <c r="P64" s="1" t="str">
        <f t="shared" si="14"/>
        <v/>
      </c>
      <c r="Q64" s="1">
        <f>IFERROR(VLOOKUP(P64,'Dummy Amount'!$A$2:$B$66,2,FALSE),0)</f>
        <v>0</v>
      </c>
      <c r="R64" s="1" t="str">
        <f t="shared" si="6"/>
        <v/>
      </c>
      <c r="S64" s="1" t="str">
        <f t="shared" si="15"/>
        <v/>
      </c>
      <c r="T64" s="1" t="str">
        <f t="shared" si="16"/>
        <v/>
      </c>
      <c r="U64" s="1" t="str">
        <f t="shared" si="9"/>
        <v/>
      </c>
      <c r="V64" s="1">
        <f>IFERROR(VLOOKUP(T64,'Dummy Amount'!$A$2:$B$66,2,FALSE),0)</f>
        <v>0</v>
      </c>
      <c r="W64" s="1" t="str">
        <f t="shared" si="10"/>
        <v/>
      </c>
      <c r="X64" s="1">
        <f>IFERROR(VLOOKUP(W64,'Dummy Amount'!$A$2:$B$66,2,FALSE),0)</f>
        <v>0</v>
      </c>
      <c r="Y64" s="1" t="str">
        <f t="shared" si="11"/>
        <v/>
      </c>
      <c r="Z64" s="1"/>
    </row>
    <row r="65" spans="2:26" x14ac:dyDescent="0.3">
      <c r="B65" s="1" t="s">
        <v>67</v>
      </c>
      <c r="C65" s="54"/>
      <c r="D65" s="1"/>
      <c r="E65" s="1"/>
      <c r="F65" s="1" t="s">
        <v>67</v>
      </c>
      <c r="G65" s="1"/>
      <c r="H65" s="1"/>
      <c r="I65" s="1" t="str">
        <f t="shared" si="4"/>
        <v/>
      </c>
      <c r="J65" s="1">
        <f>IFERROR(VLOOKUP(I65,'Dummy Amount'!$A$2:$B$66,2,FALSE),0)</f>
        <v>0</v>
      </c>
      <c r="K65" s="9"/>
      <c r="L65" s="1" t="str">
        <f t="shared" si="5"/>
        <v/>
      </c>
      <c r="M65" s="1" t="str">
        <f t="shared" si="12"/>
        <v/>
      </c>
      <c r="N65" s="1">
        <f>IFERROR(VLOOKUP(L65,'Dummy Amount'!A61:B125,2,FALSE),0)</f>
        <v>0</v>
      </c>
      <c r="O65" s="1" t="str">
        <f t="shared" si="13"/>
        <v/>
      </c>
      <c r="P65" s="1" t="str">
        <f t="shared" si="14"/>
        <v/>
      </c>
      <c r="Q65" s="1">
        <f>IFERROR(VLOOKUP(P65,'Dummy Amount'!$A$2:$B$66,2,FALSE),0)</f>
        <v>0</v>
      </c>
      <c r="R65" s="1" t="str">
        <f t="shared" si="6"/>
        <v/>
      </c>
      <c r="S65" s="1" t="str">
        <f t="shared" si="15"/>
        <v/>
      </c>
      <c r="T65" s="1" t="str">
        <f t="shared" si="16"/>
        <v/>
      </c>
      <c r="U65" s="1" t="str">
        <f t="shared" si="9"/>
        <v/>
      </c>
      <c r="V65" s="1">
        <f>IFERROR(VLOOKUP(T65,'Dummy Amount'!$A$2:$B$66,2,FALSE),0)</f>
        <v>0</v>
      </c>
      <c r="W65" s="1" t="str">
        <f t="shared" si="10"/>
        <v/>
      </c>
      <c r="X65" s="1">
        <f>IFERROR(VLOOKUP(W65,'Dummy Amount'!$A$2:$B$66,2,FALSE),0)</f>
        <v>0</v>
      </c>
      <c r="Y65" s="1" t="str">
        <f t="shared" si="11"/>
        <v/>
      </c>
      <c r="Z65" s="1"/>
    </row>
    <row r="66" spans="2:26" x14ac:dyDescent="0.3">
      <c r="B66" s="1" t="s">
        <v>68</v>
      </c>
      <c r="C66" s="54"/>
      <c r="D66" s="1"/>
      <c r="E66" s="1"/>
      <c r="F66" s="1" t="s">
        <v>68</v>
      </c>
      <c r="G66" s="1"/>
      <c r="H66" s="1"/>
      <c r="I66" s="1" t="str">
        <f t="shared" si="4"/>
        <v/>
      </c>
      <c r="J66" s="1">
        <f>IFERROR(VLOOKUP(I66,'Dummy Amount'!$A$2:$B$66,2,FALSE),0)</f>
        <v>0</v>
      </c>
      <c r="K66" s="9"/>
      <c r="L66" s="1" t="str">
        <f t="shared" si="5"/>
        <v/>
      </c>
      <c r="M66" s="1" t="str">
        <f t="shared" si="12"/>
        <v/>
      </c>
      <c r="N66" s="1">
        <f>IFERROR(VLOOKUP(L66,'Dummy Amount'!A62:B126,2,FALSE),0)</f>
        <v>0</v>
      </c>
      <c r="O66" s="1" t="str">
        <f t="shared" si="13"/>
        <v/>
      </c>
      <c r="P66" s="1" t="str">
        <f t="shared" si="14"/>
        <v/>
      </c>
      <c r="Q66" s="1">
        <f>IFERROR(VLOOKUP(P66,'Dummy Amount'!$A$2:$B$66,2,FALSE),0)</f>
        <v>0</v>
      </c>
      <c r="R66" s="1" t="str">
        <f t="shared" si="6"/>
        <v/>
      </c>
      <c r="S66" s="1" t="str">
        <f t="shared" si="15"/>
        <v/>
      </c>
      <c r="T66" s="1" t="str">
        <f t="shared" si="16"/>
        <v/>
      </c>
      <c r="U66" s="1" t="str">
        <f t="shared" si="9"/>
        <v/>
      </c>
      <c r="V66" s="1">
        <f>IFERROR(VLOOKUP(T66,'Dummy Amount'!$A$2:$B$66,2,FALSE),0)</f>
        <v>0</v>
      </c>
      <c r="W66" s="1" t="str">
        <f t="shared" si="10"/>
        <v/>
      </c>
      <c r="X66" s="1">
        <f>IFERROR(VLOOKUP(W66,'Dummy Amount'!$A$2:$B$66,2,FALSE),0)</f>
        <v>0</v>
      </c>
      <c r="Y66" s="1" t="str">
        <f t="shared" si="11"/>
        <v/>
      </c>
      <c r="Z66" s="1"/>
    </row>
    <row r="67" spans="2:26" x14ac:dyDescent="0.3">
      <c r="B67" s="1"/>
      <c r="C67" s="54"/>
      <c r="D67" s="1"/>
      <c r="E67" s="1"/>
      <c r="F67" s="1"/>
      <c r="G67" s="1"/>
      <c r="H67" s="1" t="s">
        <v>73</v>
      </c>
      <c r="I67" s="1" t="str">
        <f t="shared" si="4"/>
        <v>XAF</v>
      </c>
      <c r="J67" s="1">
        <f>IFERROR(VLOOKUP(I67,'Dummy Amount'!$A$2:$B$66,2,FALSE),0)</f>
        <v>50</v>
      </c>
      <c r="K67" s="9"/>
      <c r="L67" s="1" t="str">
        <f t="shared" si="5"/>
        <v>XAF</v>
      </c>
      <c r="M67" s="1" t="str">
        <f t="shared" si="12"/>
        <v>Subject/Fixed</v>
      </c>
      <c r="N67" s="1">
        <f>IFERROR(VLOOKUP(L67,'Dummy Amount'!A63:B127,2,FALSE),0)</f>
        <v>50</v>
      </c>
      <c r="O67" s="1" t="str">
        <f t="shared" si="13"/>
        <v>Yes</v>
      </c>
      <c r="P67" s="1" t="str">
        <f t="shared" si="14"/>
        <v>XAF</v>
      </c>
      <c r="Q67" s="1">
        <f>IFERROR(VLOOKUP(P67,'Dummy Amount'!$A$2:$B$66,2,FALSE),0)</f>
        <v>50</v>
      </c>
      <c r="R67" s="1" t="str">
        <f t="shared" si="6"/>
        <v>Yes</v>
      </c>
      <c r="S67" s="1" t="str">
        <f t="shared" si="15"/>
        <v>XAF</v>
      </c>
      <c r="T67" s="1" t="str">
        <f t="shared" si="16"/>
        <v>XAF</v>
      </c>
      <c r="U67" s="1" t="str">
        <f t="shared" si="9"/>
        <v>Subject/Fixed</v>
      </c>
      <c r="V67" s="1">
        <f>IFERROR(VLOOKUP(T67,'Dummy Amount'!$A$2:$B$66,2,FALSE),0)</f>
        <v>50</v>
      </c>
      <c r="W67" s="1" t="str">
        <f t="shared" si="10"/>
        <v>XAF</v>
      </c>
      <c r="X67" s="1">
        <f>IFERROR(VLOOKUP(W67,'Dummy Amount'!$A$2:$B$66,2,FALSE),0)</f>
        <v>50</v>
      </c>
      <c r="Y67" s="1" t="str">
        <f t="shared" si="11"/>
        <v>Yes</v>
      </c>
      <c r="Z67" s="1"/>
    </row>
    <row r="68" spans="2:26" x14ac:dyDescent="0.3">
      <c r="B68" s="1" t="s">
        <v>69</v>
      </c>
      <c r="C68" s="54"/>
      <c r="D68" s="1"/>
      <c r="E68" s="1"/>
      <c r="F68" s="1" t="s">
        <v>69</v>
      </c>
      <c r="G68" s="1"/>
      <c r="H68" s="1"/>
      <c r="I68" s="1" t="str">
        <f t="shared" si="4"/>
        <v/>
      </c>
      <c r="J68" s="1">
        <f>IFERROR(VLOOKUP(I68,'Dummy Amount'!$A$2:$B$66,2,FALSE),0)</f>
        <v>0</v>
      </c>
      <c r="K68" s="9"/>
      <c r="L68" s="1" t="str">
        <f t="shared" si="5"/>
        <v/>
      </c>
      <c r="M68" s="1" t="str">
        <f t="shared" si="12"/>
        <v/>
      </c>
      <c r="N68" s="1">
        <f>IFERROR(VLOOKUP(L68,'Dummy Amount'!A64:B128,2,FALSE),0)</f>
        <v>0</v>
      </c>
      <c r="O68" s="1" t="str">
        <f t="shared" si="13"/>
        <v/>
      </c>
      <c r="P68" s="1" t="str">
        <f t="shared" si="14"/>
        <v/>
      </c>
      <c r="Q68" s="1">
        <f>IFERROR(VLOOKUP(P68,'Dummy Amount'!$A$2:$B$66,2,FALSE),0)</f>
        <v>0</v>
      </c>
      <c r="R68" s="1" t="str">
        <f t="shared" si="6"/>
        <v/>
      </c>
      <c r="S68" s="1" t="str">
        <f t="shared" si="15"/>
        <v/>
      </c>
      <c r="T68" s="1" t="str">
        <f t="shared" si="16"/>
        <v/>
      </c>
      <c r="U68" s="1" t="str">
        <f t="shared" si="9"/>
        <v/>
      </c>
      <c r="V68" s="1">
        <f>IFERROR(VLOOKUP(T68,'Dummy Amount'!$A$2:$B$66,2,FALSE),0)</f>
        <v>0</v>
      </c>
      <c r="W68" s="1" t="str">
        <f t="shared" si="10"/>
        <v/>
      </c>
      <c r="X68" s="1">
        <f>IFERROR(VLOOKUP(W68,'Dummy Amount'!$A$2:$B$66,2,FALSE),0)</f>
        <v>0</v>
      </c>
      <c r="Y68" s="1" t="str">
        <f t="shared" si="11"/>
        <v/>
      </c>
      <c r="Z68" s="1"/>
    </row>
    <row r="69" spans="2:26" x14ac:dyDescent="0.3">
      <c r="B69" s="1" t="s">
        <v>70</v>
      </c>
      <c r="C69" s="54"/>
      <c r="D69" s="1"/>
      <c r="E69" s="1"/>
      <c r="F69" s="1"/>
      <c r="G69" s="1"/>
      <c r="H69" s="1" t="s">
        <v>70</v>
      </c>
      <c r="I69" s="1" t="str">
        <f t="shared" si="4"/>
        <v>XDD</v>
      </c>
      <c r="J69" s="1">
        <f>IFERROR(VLOOKUP(I69,'Dummy Amount'!$A$2:$B$66,2,FALSE),0)</f>
        <v>50</v>
      </c>
      <c r="K69" s="9"/>
      <c r="L69" s="1" t="str">
        <f t="shared" si="5"/>
        <v>XDD</v>
      </c>
      <c r="M69" s="1" t="str">
        <f t="shared" si="12"/>
        <v>Subject/Fixed</v>
      </c>
      <c r="N69" s="1">
        <f>IFERROR(VLOOKUP(L69,'Dummy Amount'!A65:B129,2,FALSE),0)</f>
        <v>50</v>
      </c>
      <c r="O69" s="1" t="str">
        <f t="shared" si="13"/>
        <v>Yes</v>
      </c>
      <c r="P69" s="1" t="str">
        <f t="shared" si="14"/>
        <v>XDD</v>
      </c>
      <c r="Q69" s="1">
        <f>IFERROR(VLOOKUP(P69,'Dummy Amount'!$A$2:$B$66,2,FALSE),0)</f>
        <v>50</v>
      </c>
      <c r="R69" s="1" t="str">
        <f t="shared" si="6"/>
        <v>Yes</v>
      </c>
      <c r="S69" s="1" t="str">
        <f t="shared" si="15"/>
        <v>XDD</v>
      </c>
      <c r="T69" s="1" t="str">
        <f t="shared" si="16"/>
        <v>XDD</v>
      </c>
      <c r="U69" s="1" t="str">
        <f t="shared" si="9"/>
        <v>Subject/Fixed</v>
      </c>
      <c r="V69" s="1">
        <f>IFERROR(VLOOKUP(T69,'Dummy Amount'!$A$2:$B$66,2,FALSE),0)</f>
        <v>50</v>
      </c>
      <c r="W69" s="1" t="str">
        <f t="shared" si="10"/>
        <v>XDD</v>
      </c>
      <c r="X69" s="1">
        <f>IFERROR(VLOOKUP(W69,'Dummy Amount'!$A$2:$B$66,2,FALSE),0)</f>
        <v>50</v>
      </c>
      <c r="Y69" s="1" t="str">
        <f t="shared" si="11"/>
        <v>Yes</v>
      </c>
      <c r="Z69" s="1"/>
    </row>
    <row r="70" spans="2:26" x14ac:dyDescent="0.3">
      <c r="B70" s="1" t="s">
        <v>71</v>
      </c>
      <c r="C70" s="54"/>
      <c r="D70" s="1"/>
      <c r="E70" s="1"/>
      <c r="F70" s="1" t="s">
        <v>71</v>
      </c>
      <c r="G70" s="1"/>
      <c r="H70" s="1"/>
      <c r="I70" s="1" t="str">
        <f t="shared" si="4"/>
        <v/>
      </c>
      <c r="J70" s="1">
        <f>IFERROR(VLOOKUP(I70,'Dummy Amount'!$A$2:$B$66,2,FALSE),0)</f>
        <v>0</v>
      </c>
      <c r="K70" s="9"/>
      <c r="L70" s="1" t="str">
        <f t="shared" si="5"/>
        <v/>
      </c>
      <c r="M70" s="1" t="str">
        <f t="shared" ref="M70" si="17">IF(L70="","",IF(I70&lt;&gt;"","Subject/Fixed","Inclusive"))</f>
        <v/>
      </c>
      <c r="N70" s="1">
        <f>IFERROR(VLOOKUP(L70,'Dummy Amount'!A66:B130,2,FALSE),0)</f>
        <v>0</v>
      </c>
      <c r="O70" s="1" t="str">
        <f t="shared" si="13"/>
        <v/>
      </c>
      <c r="P70" s="1" t="str">
        <f t="shared" si="14"/>
        <v/>
      </c>
      <c r="Q70" s="1">
        <f>IFERROR(VLOOKUP(P70,'Dummy Amount'!$A$2:$B$66,2,FALSE),0)</f>
        <v>0</v>
      </c>
      <c r="R70" s="1" t="str">
        <f t="shared" si="6"/>
        <v/>
      </c>
      <c r="S70" s="1" t="str">
        <f t="shared" si="15"/>
        <v/>
      </c>
      <c r="T70" s="1" t="str">
        <f>IF($L$3="Y",IF(R70="",IF(S70&lt;&gt;"",S70,""),R70),"")</f>
        <v/>
      </c>
      <c r="U70" s="1" t="str">
        <f t="shared" si="9"/>
        <v/>
      </c>
      <c r="V70" s="1">
        <f>IFERROR(VLOOKUP(T70,'Dummy Amount'!$A$2:$B$66,2,FALSE),0)</f>
        <v>0</v>
      </c>
      <c r="W70" s="1" t="str">
        <f t="shared" si="10"/>
        <v/>
      </c>
      <c r="X70" s="1">
        <f>IFERROR(VLOOKUP(W70,'Dummy Amount'!$A$2:$B$66,2,FALSE),0)</f>
        <v>0</v>
      </c>
      <c r="Y70" s="1" t="str">
        <f>IF(W70="","",IF(T70="","No",IF(R70="Inclusive","No","Yes")))</f>
        <v/>
      </c>
      <c r="Z70" s="1"/>
    </row>
    <row r="71" spans="2:26" x14ac:dyDescent="0.3">
      <c r="I71" s="1" t="str">
        <f t="shared" ref="I71" si="18">IF($I$3="LT_MRG",IF(OR(H71="",G71&amp;H71=""),"",IF(H71=G71,"",H71)),IF(F71=B71,"",IF(H71="","",IF(F71="",H71,""))))</f>
        <v/>
      </c>
      <c r="J71" s="1"/>
      <c r="L71" s="1" t="str">
        <f t="shared" ref="L71" si="19">IF($L$3="Y",IF(I71="",IF(K71&lt;&gt;"",K71,I71),""),"")</f>
        <v/>
      </c>
      <c r="M71" s="1" t="str">
        <f t="shared" ref="M71" si="20">IF(L71="","",IF(I71&lt;&gt;"","Subject/Fixed","Inclusive"))</f>
        <v/>
      </c>
      <c r="N71" s="1"/>
      <c r="O71" s="1" t="str">
        <f t="shared" si="13"/>
        <v/>
      </c>
      <c r="P71" s="1" t="str">
        <f t="shared" si="14"/>
        <v/>
      </c>
      <c r="Q71" s="1"/>
      <c r="R71" s="1" t="str">
        <f t="shared" ref="R71" si="21">IF(P71="","",IF(L71="","No","Yes"))</f>
        <v/>
      </c>
      <c r="S71" s="1" t="str">
        <f>IF($I$3="LT_MRG",IF(OR(R71="",Q71&amp;R71=""),"",IF(R71=Q71,"",R71)),IF(P71=L71,"",IF(R71="","",IF(P71="",R71,""))))</f>
        <v/>
      </c>
      <c r="T71" s="1" t="str">
        <f t="shared" ref="T71" si="22">IF($L$3="Y",IF(R71="",IF(S71&lt;&gt;"",S71,R71),""),"")</f>
        <v/>
      </c>
      <c r="U71" s="1" t="str">
        <f t="shared" ref="U71" si="23">IF(T71="","",IF(R71&lt;&gt;"","Subject/Fixed","Inclusive"))</f>
        <v/>
      </c>
      <c r="V71" s="1"/>
      <c r="W71" s="1" t="str">
        <f>IF($P$3="","",IF($P$3="LT_MRG",IF($H71="","",IF($G71="",$H71,"")),IF($H71="","",IF($F71="",$H71,""))))</f>
        <v/>
      </c>
      <c r="X71" s="1"/>
      <c r="Y71" s="1" t="str">
        <f>IF(U71="","",IF(Q71="","No","Yes"))</f>
        <v/>
      </c>
      <c r="Z71" s="1"/>
    </row>
  </sheetData>
  <autoFilter ref="A5:Z71" xr:uid="{18E7A28B-EBD9-4E17-8A90-7870EB3AF944}"/>
  <sortState xmlns:xlrd2="http://schemas.microsoft.com/office/spreadsheetml/2017/richdata2" ref="C11:C71">
    <sortCondition ref="C6:C11"/>
  </sortState>
  <mergeCells count="1">
    <mergeCell ref="C6:C70"/>
  </mergeCells>
  <conditionalFormatting sqref="M6:N6 M7:M70 N7:N71">
    <cfRule type="cellIs" dxfId="4" priority="4" operator="equal">
      <formula>"Subject/Fixed"</formula>
    </cfRule>
    <cfRule type="cellIs" dxfId="3" priority="5" operator="equal">
      <formula>"Inclusive"</formula>
    </cfRule>
  </conditionalFormatting>
  <conditionalFormatting sqref="O6:O70">
    <cfRule type="cellIs" dxfId="2" priority="3" operator="equal">
      <formula>"Yes"</formula>
    </cfRule>
  </conditionalFormatting>
  <conditionalFormatting sqref="U7:U70">
    <cfRule type="cellIs" dxfId="1" priority="1" operator="equal">
      <formula>"Subject/Fixed"</formula>
    </cfRule>
    <cfRule type="cellIs" dxfId="0" priority="2" operator="equal">
      <formula>"Inclusive"</formula>
    </cfRule>
  </conditionalFormatting>
  <dataValidations count="2">
    <dataValidation type="list" allowBlank="1" showInputMessage="1" showErrorMessage="1" sqref="I3:J3 P3:Q3 S3 W3:X3" xr:uid="{51438C5B-805B-4292-A235-1CB0DF115587}">
      <formula1>"LT_MRG,CUSTOMER_STRUCTURE"</formula1>
    </dataValidation>
    <dataValidation type="list" allowBlank="1" showInputMessage="1" showErrorMessage="1" sqref="L3 T3" xr:uid="{8F6E611A-A665-4757-ACFC-F29837F70979}">
      <formula1>"Y,N"</formula1>
    </dataValidation>
  </dataValidation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5347A-6749-4069-BFDD-4C3BB31BE526}">
  <dimension ref="A1:B66"/>
  <sheetViews>
    <sheetView topLeftCell="A16" workbookViewId="0">
      <selection activeCell="E10" sqref="E10"/>
    </sheetView>
  </sheetViews>
  <sheetFormatPr defaultRowHeight="14.4" x14ac:dyDescent="0.3"/>
  <cols>
    <col min="1" max="1" width="9.44140625" bestFit="1" customWidth="1"/>
    <col min="2" max="2" width="19.109375" bestFit="1" customWidth="1"/>
  </cols>
  <sheetData>
    <row r="1" spans="1:2" x14ac:dyDescent="0.3">
      <c r="A1" t="s">
        <v>87</v>
      </c>
      <c r="B1" t="s">
        <v>113</v>
      </c>
    </row>
    <row r="2" spans="1:2" x14ac:dyDescent="0.3">
      <c r="A2" t="s">
        <v>34</v>
      </c>
      <c r="B2">
        <v>50</v>
      </c>
    </row>
    <row r="3" spans="1:2" x14ac:dyDescent="0.3">
      <c r="A3" t="s">
        <v>35</v>
      </c>
      <c r="B3">
        <v>50</v>
      </c>
    </row>
    <row r="4" spans="1:2" x14ac:dyDescent="0.3">
      <c r="A4" t="s">
        <v>36</v>
      </c>
      <c r="B4">
        <v>50</v>
      </c>
    </row>
    <row r="5" spans="1:2" x14ac:dyDescent="0.3">
      <c r="A5" t="s">
        <v>19</v>
      </c>
      <c r="B5">
        <v>50</v>
      </c>
    </row>
    <row r="6" spans="1:2" x14ac:dyDescent="0.3">
      <c r="A6" t="s">
        <v>37</v>
      </c>
      <c r="B6">
        <v>50</v>
      </c>
    </row>
    <row r="7" spans="1:2" x14ac:dyDescent="0.3">
      <c r="A7" t="s">
        <v>38</v>
      </c>
      <c r="B7">
        <v>50</v>
      </c>
    </row>
    <row r="8" spans="1:2" x14ac:dyDescent="0.3">
      <c r="A8" t="s">
        <v>39</v>
      </c>
      <c r="B8">
        <v>50</v>
      </c>
    </row>
    <row r="9" spans="1:2" x14ac:dyDescent="0.3">
      <c r="A9" t="s">
        <v>40</v>
      </c>
      <c r="B9">
        <v>50</v>
      </c>
    </row>
    <row r="10" spans="1:2" x14ac:dyDescent="0.3">
      <c r="A10" t="s">
        <v>41</v>
      </c>
      <c r="B10">
        <v>50</v>
      </c>
    </row>
    <row r="11" spans="1:2" x14ac:dyDescent="0.3">
      <c r="A11" t="s">
        <v>41</v>
      </c>
      <c r="B11">
        <v>50</v>
      </c>
    </row>
    <row r="12" spans="1:2" x14ac:dyDescent="0.3">
      <c r="A12" t="s">
        <v>42</v>
      </c>
      <c r="B12">
        <v>50</v>
      </c>
    </row>
    <row r="13" spans="1:2" x14ac:dyDescent="0.3">
      <c r="A13" t="s">
        <v>43</v>
      </c>
      <c r="B13">
        <v>50</v>
      </c>
    </row>
    <row r="14" spans="1:2" x14ac:dyDescent="0.3">
      <c r="A14" t="s">
        <v>16</v>
      </c>
      <c r="B14">
        <v>50</v>
      </c>
    </row>
    <row r="15" spans="1:2" x14ac:dyDescent="0.3">
      <c r="A15" t="s">
        <v>15</v>
      </c>
      <c r="B15">
        <v>50</v>
      </c>
    </row>
    <row r="16" spans="1:2" x14ac:dyDescent="0.3">
      <c r="A16" t="s">
        <v>18</v>
      </c>
      <c r="B16">
        <v>50</v>
      </c>
    </row>
    <row r="17" spans="1:2" x14ac:dyDescent="0.3">
      <c r="A17" t="s">
        <v>17</v>
      </c>
      <c r="B17">
        <v>50</v>
      </c>
    </row>
    <row r="18" spans="1:2" x14ac:dyDescent="0.3">
      <c r="A18" t="s">
        <v>44</v>
      </c>
      <c r="B18">
        <v>50</v>
      </c>
    </row>
    <row r="19" spans="1:2" x14ac:dyDescent="0.3">
      <c r="A19" t="s">
        <v>5</v>
      </c>
      <c r="B19">
        <v>50</v>
      </c>
    </row>
    <row r="20" spans="1:2" x14ac:dyDescent="0.3">
      <c r="A20" t="s">
        <v>45</v>
      </c>
      <c r="B20">
        <v>50</v>
      </c>
    </row>
    <row r="21" spans="1:2" x14ac:dyDescent="0.3">
      <c r="A21" t="s">
        <v>12</v>
      </c>
      <c r="B21">
        <v>50</v>
      </c>
    </row>
    <row r="22" spans="1:2" x14ac:dyDescent="0.3">
      <c r="A22" t="s">
        <v>13</v>
      </c>
      <c r="B22">
        <v>50</v>
      </c>
    </row>
    <row r="23" spans="1:2" x14ac:dyDescent="0.3">
      <c r="A23" t="s">
        <v>11</v>
      </c>
      <c r="B23">
        <v>50</v>
      </c>
    </row>
    <row r="24" spans="1:2" x14ac:dyDescent="0.3">
      <c r="A24" t="s">
        <v>1</v>
      </c>
      <c r="B24">
        <v>50</v>
      </c>
    </row>
    <row r="25" spans="1:2" x14ac:dyDescent="0.3">
      <c r="A25" t="s">
        <v>46</v>
      </c>
      <c r="B25">
        <v>50</v>
      </c>
    </row>
    <row r="26" spans="1:2" x14ac:dyDescent="0.3">
      <c r="A26" t="s">
        <v>47</v>
      </c>
      <c r="B26">
        <v>50</v>
      </c>
    </row>
    <row r="27" spans="1:2" x14ac:dyDescent="0.3">
      <c r="A27" t="s">
        <v>48</v>
      </c>
      <c r="B27">
        <v>50</v>
      </c>
    </row>
    <row r="28" spans="1:2" x14ac:dyDescent="0.3">
      <c r="A28" t="s">
        <v>49</v>
      </c>
      <c r="B28">
        <v>50</v>
      </c>
    </row>
    <row r="29" spans="1:2" x14ac:dyDescent="0.3">
      <c r="A29" t="s">
        <v>50</v>
      </c>
      <c r="B29">
        <v>50</v>
      </c>
    </row>
    <row r="30" spans="1:2" x14ac:dyDescent="0.3">
      <c r="A30" t="s">
        <v>74</v>
      </c>
      <c r="B30">
        <v>50</v>
      </c>
    </row>
    <row r="31" spans="1:2" x14ac:dyDescent="0.3">
      <c r="A31" t="s">
        <v>23</v>
      </c>
      <c r="B31">
        <v>50</v>
      </c>
    </row>
    <row r="32" spans="1:2" x14ac:dyDescent="0.3">
      <c r="A32" t="s">
        <v>24</v>
      </c>
      <c r="B32">
        <v>50</v>
      </c>
    </row>
    <row r="33" spans="1:2" x14ac:dyDescent="0.3">
      <c r="A33" t="s">
        <v>51</v>
      </c>
      <c r="B33">
        <v>33</v>
      </c>
    </row>
    <row r="34" spans="1:2" x14ac:dyDescent="0.3">
      <c r="A34" t="s">
        <v>52</v>
      </c>
      <c r="B34">
        <v>50</v>
      </c>
    </row>
    <row r="35" spans="1:2" x14ac:dyDescent="0.3">
      <c r="A35" t="s">
        <v>53</v>
      </c>
      <c r="B35">
        <v>50</v>
      </c>
    </row>
    <row r="36" spans="1:2" x14ac:dyDescent="0.3">
      <c r="A36" t="s">
        <v>21</v>
      </c>
      <c r="B36">
        <v>50</v>
      </c>
    </row>
    <row r="37" spans="1:2" x14ac:dyDescent="0.3">
      <c r="A37" t="s">
        <v>20</v>
      </c>
      <c r="B37">
        <v>50</v>
      </c>
    </row>
    <row r="38" spans="1:2" x14ac:dyDescent="0.3">
      <c r="A38" t="s">
        <v>54</v>
      </c>
      <c r="B38">
        <v>50</v>
      </c>
    </row>
    <row r="39" spans="1:2" x14ac:dyDescent="0.3">
      <c r="A39" t="s">
        <v>55</v>
      </c>
      <c r="B39">
        <v>50</v>
      </c>
    </row>
    <row r="40" spans="1:2" x14ac:dyDescent="0.3">
      <c r="A40" t="s">
        <v>56</v>
      </c>
      <c r="B40">
        <v>50</v>
      </c>
    </row>
    <row r="41" spans="1:2" x14ac:dyDescent="0.3">
      <c r="A41" t="s">
        <v>57</v>
      </c>
      <c r="B41">
        <v>50</v>
      </c>
    </row>
    <row r="42" spans="1:2" x14ac:dyDescent="0.3">
      <c r="A42" t="s">
        <v>58</v>
      </c>
      <c r="B42">
        <v>50</v>
      </c>
    </row>
    <row r="43" spans="1:2" x14ac:dyDescent="0.3">
      <c r="A43" t="s">
        <v>59</v>
      </c>
      <c r="B43">
        <v>44</v>
      </c>
    </row>
    <row r="44" spans="1:2" x14ac:dyDescent="0.3">
      <c r="A44" t="s">
        <v>60</v>
      </c>
      <c r="B44">
        <v>50</v>
      </c>
    </row>
    <row r="45" spans="1:2" x14ac:dyDescent="0.3">
      <c r="A45" t="s">
        <v>61</v>
      </c>
      <c r="B45">
        <v>50</v>
      </c>
    </row>
    <row r="46" spans="1:2" x14ac:dyDescent="0.3">
      <c r="A46" t="s">
        <v>62</v>
      </c>
      <c r="B46">
        <v>66</v>
      </c>
    </row>
    <row r="47" spans="1:2" x14ac:dyDescent="0.3">
      <c r="A47" t="s">
        <v>2</v>
      </c>
      <c r="B47">
        <v>50</v>
      </c>
    </row>
    <row r="48" spans="1:2" x14ac:dyDescent="0.3">
      <c r="A48" t="s">
        <v>0</v>
      </c>
      <c r="B48">
        <v>77</v>
      </c>
    </row>
    <row r="49" spans="1:2" x14ac:dyDescent="0.3">
      <c r="A49" t="s">
        <v>63</v>
      </c>
      <c r="B49">
        <v>88</v>
      </c>
    </row>
    <row r="50" spans="1:2" x14ac:dyDescent="0.3">
      <c r="A50" t="s">
        <v>7</v>
      </c>
      <c r="B50">
        <v>50</v>
      </c>
    </row>
    <row r="51" spans="1:2" x14ac:dyDescent="0.3">
      <c r="A51" t="s">
        <v>22</v>
      </c>
      <c r="B51">
        <v>50</v>
      </c>
    </row>
    <row r="52" spans="1:2" x14ac:dyDescent="0.3">
      <c r="A52" t="s">
        <v>3</v>
      </c>
      <c r="B52">
        <v>50</v>
      </c>
    </row>
    <row r="53" spans="1:2" x14ac:dyDescent="0.3">
      <c r="A53" t="s">
        <v>10</v>
      </c>
      <c r="B53">
        <v>50</v>
      </c>
    </row>
    <row r="54" spans="1:2" x14ac:dyDescent="0.3">
      <c r="A54" t="s">
        <v>64</v>
      </c>
      <c r="B54">
        <v>50</v>
      </c>
    </row>
    <row r="55" spans="1:2" x14ac:dyDescent="0.3">
      <c r="A55" t="s">
        <v>8</v>
      </c>
      <c r="B55">
        <v>50</v>
      </c>
    </row>
    <row r="56" spans="1:2" x14ac:dyDescent="0.3">
      <c r="A56" t="s">
        <v>14</v>
      </c>
      <c r="B56">
        <v>50</v>
      </c>
    </row>
    <row r="57" spans="1:2" x14ac:dyDescent="0.3">
      <c r="A57" t="s">
        <v>6</v>
      </c>
      <c r="B57">
        <v>50</v>
      </c>
    </row>
    <row r="58" spans="1:2" x14ac:dyDescent="0.3">
      <c r="A58" t="s">
        <v>4</v>
      </c>
      <c r="B58">
        <v>50</v>
      </c>
    </row>
    <row r="59" spans="1:2" x14ac:dyDescent="0.3">
      <c r="A59" t="s">
        <v>65</v>
      </c>
      <c r="B59">
        <v>50</v>
      </c>
    </row>
    <row r="60" spans="1:2" x14ac:dyDescent="0.3">
      <c r="A60" t="s">
        <v>66</v>
      </c>
      <c r="B60">
        <v>50</v>
      </c>
    </row>
    <row r="61" spans="1:2" x14ac:dyDescent="0.3">
      <c r="A61" t="s">
        <v>67</v>
      </c>
      <c r="B61">
        <v>50</v>
      </c>
    </row>
    <row r="62" spans="1:2" x14ac:dyDescent="0.3">
      <c r="A62" t="s">
        <v>68</v>
      </c>
      <c r="B62">
        <v>50</v>
      </c>
    </row>
    <row r="63" spans="1:2" x14ac:dyDescent="0.3">
      <c r="A63" t="s">
        <v>73</v>
      </c>
      <c r="B63">
        <v>50</v>
      </c>
    </row>
    <row r="64" spans="1:2" x14ac:dyDescent="0.3">
      <c r="A64" t="s">
        <v>69</v>
      </c>
      <c r="B64">
        <v>50</v>
      </c>
    </row>
    <row r="65" spans="1:2" x14ac:dyDescent="0.3">
      <c r="A65" t="s">
        <v>70</v>
      </c>
      <c r="B65">
        <v>50</v>
      </c>
    </row>
    <row r="66" spans="1:2" x14ac:dyDescent="0.3">
      <c r="A66" t="s">
        <v>71</v>
      </c>
      <c r="B66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81F6-6BA2-4357-927B-8AAC314311AE}">
  <dimension ref="A1:AX17"/>
  <sheetViews>
    <sheetView workbookViewId="0">
      <selection activeCell="A17" sqref="A17"/>
    </sheetView>
  </sheetViews>
  <sheetFormatPr defaultRowHeight="14.4" x14ac:dyDescent="0.3"/>
  <sheetData>
    <row r="1" spans="1:50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41</v>
      </c>
      <c r="J1" t="s">
        <v>42</v>
      </c>
      <c r="K1" t="s">
        <v>43</v>
      </c>
      <c r="L1" t="s">
        <v>17</v>
      </c>
      <c r="M1" t="s">
        <v>44</v>
      </c>
      <c r="N1" t="s">
        <v>45</v>
      </c>
      <c r="O1" t="s">
        <v>1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21</v>
      </c>
      <c r="Y1" t="s">
        <v>20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2</v>
      </c>
      <c r="AJ1" t="s">
        <v>63</v>
      </c>
      <c r="AK1" t="s">
        <v>22</v>
      </c>
      <c r="AL1" t="s">
        <v>3</v>
      </c>
      <c r="AM1" t="s">
        <v>10</v>
      </c>
      <c r="AN1" t="s">
        <v>64</v>
      </c>
      <c r="AO1" t="s">
        <v>8</v>
      </c>
      <c r="AP1" t="s">
        <v>4</v>
      </c>
      <c r="AQ1" t="s">
        <v>65</v>
      </c>
      <c r="AR1" t="s">
        <v>66</v>
      </c>
      <c r="AS1" t="s">
        <v>67</v>
      </c>
      <c r="AT1" t="s">
        <v>68</v>
      </c>
      <c r="AU1" t="s">
        <v>69</v>
      </c>
      <c r="AV1" t="s">
        <v>70</v>
      </c>
      <c r="AW1" t="s">
        <v>70</v>
      </c>
      <c r="AX1" t="s">
        <v>71</v>
      </c>
    </row>
    <row r="2" spans="1:50" x14ac:dyDescent="0.3">
      <c r="A2" t="s">
        <v>38</v>
      </c>
      <c r="B2" t="s">
        <v>4</v>
      </c>
      <c r="C2" t="s">
        <v>65</v>
      </c>
      <c r="D2" t="s">
        <v>8</v>
      </c>
      <c r="E2" t="s">
        <v>0</v>
      </c>
      <c r="F2" t="s">
        <v>1</v>
      </c>
      <c r="G2" t="s">
        <v>2</v>
      </c>
    </row>
    <row r="3" spans="1:50" x14ac:dyDescent="0.3">
      <c r="A3" t="s">
        <v>17</v>
      </c>
      <c r="B3" t="s">
        <v>12</v>
      </c>
      <c r="C3" t="s">
        <v>1</v>
      </c>
      <c r="D3" t="s">
        <v>51</v>
      </c>
      <c r="E3" t="s">
        <v>59</v>
      </c>
      <c r="F3" t="s">
        <v>62</v>
      </c>
      <c r="G3" t="s">
        <v>0</v>
      </c>
      <c r="H3" t="s">
        <v>63</v>
      </c>
      <c r="I3" t="s">
        <v>8</v>
      </c>
      <c r="J3" t="s">
        <v>4</v>
      </c>
      <c r="K3" t="s">
        <v>65</v>
      </c>
      <c r="L3" t="s">
        <v>73</v>
      </c>
      <c r="M3" t="s">
        <v>70</v>
      </c>
    </row>
    <row r="5" spans="1:50" x14ac:dyDescent="0.3">
      <c r="A5" t="s">
        <v>0</v>
      </c>
      <c r="B5" t="s">
        <v>19</v>
      </c>
      <c r="C5" t="s">
        <v>13</v>
      </c>
      <c r="D5" t="s">
        <v>6</v>
      </c>
    </row>
    <row r="6" spans="1:50" x14ac:dyDescent="0.3">
      <c r="A6" t="s">
        <v>74</v>
      </c>
      <c r="B6" t="s">
        <v>12</v>
      </c>
    </row>
    <row r="14" spans="1:50" x14ac:dyDescent="0.3">
      <c r="A14" t="s">
        <v>33</v>
      </c>
    </row>
    <row r="17" spans="1:1" x14ac:dyDescent="0.3">
      <c r="A1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Image</vt:lpstr>
      <vt:lpstr>Sheet1</vt:lpstr>
      <vt:lpstr>Logic</vt:lpstr>
      <vt:lpstr>Dummy Amount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Ramos</dc:creator>
  <cp:lastModifiedBy>Leandro Ramos</cp:lastModifiedBy>
  <dcterms:created xsi:type="dcterms:W3CDTF">2023-10-10T02:58:49Z</dcterms:created>
  <dcterms:modified xsi:type="dcterms:W3CDTF">2025-05-27T04:48:28Z</dcterms:modified>
</cp:coreProperties>
</file>